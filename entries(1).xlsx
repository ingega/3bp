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threeBarsPattern\bay1\"/>
    </mc:Choice>
  </mc:AlternateContent>
  <xr:revisionPtr revIDLastSave="0" documentId="13_ncr:9_{9B39DA62-98AB-446C-BE5D-C2469B108DB6}" xr6:coauthVersionLast="47" xr6:coauthVersionMax="47" xr10:uidLastSave="{00000000-0000-0000-0000-000000000000}"/>
  <bookViews>
    <workbookView xWindow="-108" yWindow="-108" windowWidth="23256" windowHeight="12576" activeTab="1" xr2:uid="{B3E0C5F3-9F6B-4281-B8F4-24FAC8B7DC7E}"/>
  </bookViews>
  <sheets>
    <sheet name="entrie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2" i="1"/>
  <c r="K102" i="1"/>
  <c r="N102" i="1"/>
  <c r="M102" i="1"/>
  <c r="O2" i="1"/>
  <c r="O43" i="1"/>
  <c r="O64" i="1"/>
  <c r="O87" i="1"/>
  <c r="O23" i="1"/>
  <c r="O65" i="1"/>
  <c r="O44" i="1"/>
  <c r="O24" i="1"/>
  <c r="O45" i="1"/>
  <c r="O4" i="1"/>
  <c r="O88" i="1"/>
  <c r="O25" i="1"/>
  <c r="O66" i="1"/>
  <c r="O26" i="1"/>
  <c r="O5" i="1"/>
  <c r="O46" i="1"/>
  <c r="O67" i="1"/>
  <c r="O6" i="1"/>
  <c r="O89" i="1"/>
  <c r="O27" i="1"/>
  <c r="O28" i="1"/>
  <c r="O7" i="1"/>
  <c r="O68" i="1"/>
  <c r="O8" i="1"/>
  <c r="O90" i="1"/>
  <c r="O29" i="1"/>
  <c r="O9" i="1"/>
  <c r="O69" i="1"/>
  <c r="O47" i="1"/>
  <c r="O48" i="1"/>
  <c r="O70" i="1"/>
  <c r="O30" i="1"/>
  <c r="O91" i="1"/>
  <c r="O49" i="1"/>
  <c r="O31" i="1"/>
  <c r="O71" i="1"/>
  <c r="O72" i="1"/>
  <c r="O10" i="1"/>
  <c r="O92" i="1"/>
  <c r="O32" i="1"/>
  <c r="O73" i="1"/>
  <c r="O50" i="1"/>
  <c r="O11" i="1"/>
  <c r="O74" i="1"/>
  <c r="O51" i="1"/>
  <c r="O12" i="1"/>
  <c r="O93" i="1"/>
  <c r="O52" i="1"/>
  <c r="O94" i="1"/>
  <c r="O33" i="1"/>
  <c r="O75" i="1"/>
  <c r="O53" i="1"/>
  <c r="O13" i="1"/>
  <c r="O34" i="1"/>
  <c r="O54" i="1"/>
  <c r="O76" i="1"/>
  <c r="O35" i="1"/>
  <c r="O77" i="1"/>
  <c r="O95" i="1"/>
  <c r="O14" i="1"/>
  <c r="O55" i="1"/>
  <c r="O36" i="1"/>
  <c r="O96" i="1"/>
  <c r="O15" i="1"/>
  <c r="O78" i="1"/>
  <c r="O56" i="1"/>
  <c r="O16" i="1"/>
  <c r="O37" i="1"/>
  <c r="O97" i="1"/>
  <c r="O79" i="1"/>
  <c r="O17" i="1"/>
  <c r="O38" i="1"/>
  <c r="O18" i="1"/>
  <c r="O57" i="1"/>
  <c r="O80" i="1"/>
  <c r="O58" i="1"/>
  <c r="O39" i="1"/>
  <c r="O81" i="1"/>
  <c r="O98" i="1"/>
  <c r="O82" i="1"/>
  <c r="O59" i="1"/>
  <c r="O83" i="1"/>
  <c r="O40" i="1"/>
  <c r="O19" i="1"/>
  <c r="O99" i="1"/>
  <c r="O60" i="1"/>
  <c r="O41" i="1"/>
  <c r="O84" i="1"/>
  <c r="O20" i="1"/>
  <c r="O85" i="1"/>
  <c r="O61" i="1"/>
  <c r="O21" i="1"/>
  <c r="O100" i="1"/>
  <c r="O86" i="1"/>
  <c r="O42" i="1"/>
  <c r="O62" i="1"/>
  <c r="O22" i="1"/>
  <c r="O63" i="1"/>
  <c r="F63" i="1"/>
  <c r="F2" i="1"/>
  <c r="F43" i="1"/>
  <c r="F64" i="1"/>
  <c r="F87" i="1"/>
  <c r="F23" i="1"/>
  <c r="F65" i="1"/>
  <c r="F44" i="1"/>
  <c r="F24" i="1"/>
  <c r="F45" i="1"/>
  <c r="F4" i="1"/>
  <c r="F88" i="1"/>
  <c r="F25" i="1"/>
  <c r="F66" i="1"/>
  <c r="F26" i="1"/>
  <c r="F5" i="1"/>
  <c r="F46" i="1"/>
  <c r="F67" i="1"/>
  <c r="F6" i="1"/>
  <c r="F89" i="1"/>
  <c r="F27" i="1"/>
  <c r="F28" i="1"/>
  <c r="F7" i="1"/>
  <c r="F68" i="1"/>
  <c r="F8" i="1"/>
  <c r="F90" i="1"/>
  <c r="F29" i="1"/>
  <c r="F9" i="1"/>
  <c r="F69" i="1"/>
  <c r="F47" i="1"/>
  <c r="F48" i="1"/>
  <c r="F70" i="1"/>
  <c r="F30" i="1"/>
  <c r="F91" i="1"/>
  <c r="F49" i="1"/>
  <c r="F31" i="1"/>
  <c r="F71" i="1"/>
  <c r="F72" i="1"/>
  <c r="F10" i="1"/>
  <c r="F92" i="1"/>
  <c r="F32" i="1"/>
  <c r="F73" i="1"/>
  <c r="F50" i="1"/>
  <c r="F11" i="1"/>
  <c r="F74" i="1"/>
  <c r="F51" i="1"/>
  <c r="F12" i="1"/>
  <c r="F93" i="1"/>
  <c r="F52" i="1"/>
  <c r="F94" i="1"/>
  <c r="F33" i="1"/>
  <c r="F75" i="1"/>
  <c r="F53" i="1"/>
  <c r="F13" i="1"/>
  <c r="F34" i="1"/>
  <c r="F54" i="1"/>
  <c r="F76" i="1"/>
  <c r="F35" i="1"/>
  <c r="F77" i="1"/>
  <c r="F95" i="1"/>
  <c r="F14" i="1"/>
  <c r="F55" i="1"/>
  <c r="F36" i="1"/>
  <c r="F96" i="1"/>
  <c r="F15" i="1"/>
  <c r="F78" i="1"/>
  <c r="F56" i="1"/>
  <c r="F16" i="1"/>
  <c r="F37" i="1"/>
  <c r="F97" i="1"/>
  <c r="F79" i="1"/>
  <c r="F17" i="1"/>
  <c r="F38" i="1"/>
  <c r="F18" i="1"/>
  <c r="F57" i="1"/>
  <c r="F80" i="1"/>
  <c r="F58" i="1"/>
  <c r="F39" i="1"/>
  <c r="F81" i="1"/>
  <c r="F98" i="1"/>
  <c r="F82" i="1"/>
  <c r="F59" i="1"/>
  <c r="F83" i="1"/>
  <c r="F40" i="1"/>
  <c r="F19" i="1"/>
  <c r="F99" i="1"/>
  <c r="F60" i="1"/>
  <c r="F41" i="1"/>
  <c r="F84" i="1"/>
  <c r="F20" i="1"/>
  <c r="F85" i="1"/>
  <c r="F61" i="1"/>
  <c r="F21" i="1"/>
  <c r="F100" i="1"/>
  <c r="F86" i="1"/>
  <c r="F42" i="1"/>
  <c r="F62" i="1"/>
  <c r="F22" i="1"/>
  <c r="O102" i="1" l="1"/>
</calcChain>
</file>

<file path=xl/sharedStrings.xml><?xml version="1.0" encoding="utf-8"?>
<sst xmlns="http://schemas.openxmlformats.org/spreadsheetml/2006/main" count="341" uniqueCount="42">
  <si>
    <t>HOOKUSDT</t>
  </si>
  <si>
    <t>BUY</t>
  </si>
  <si>
    <t>direct TP</t>
  </si>
  <si>
    <t>XVSUSDT</t>
  </si>
  <si>
    <t>SELL</t>
  </si>
  <si>
    <t>THETAUSDT</t>
  </si>
  <si>
    <t>sl</t>
  </si>
  <si>
    <t>IDUSDT</t>
  </si>
  <si>
    <t>tie</t>
  </si>
  <si>
    <t>1000SHIBUSDT</t>
  </si>
  <si>
    <t>Indirect TP</t>
  </si>
  <si>
    <t>Ticker</t>
  </si>
  <si>
    <t>Side</t>
  </si>
  <si>
    <t>Outcome</t>
  </si>
  <si>
    <t>Qty</t>
  </si>
  <si>
    <t>epochIn</t>
  </si>
  <si>
    <t>PriceIn</t>
  </si>
  <si>
    <t>epochOut</t>
  </si>
  <si>
    <t>priceOut</t>
  </si>
  <si>
    <t>profit</t>
  </si>
  <si>
    <t>Money</t>
  </si>
  <si>
    <t>Real</t>
  </si>
  <si>
    <t>PNL</t>
  </si>
  <si>
    <t>dateIn</t>
  </si>
  <si>
    <t>Diff</t>
  </si>
  <si>
    <t>Comission</t>
  </si>
  <si>
    <t>Fee</t>
  </si>
  <si>
    <t>Operarions</t>
  </si>
  <si>
    <t>fileBalance</t>
  </si>
  <si>
    <t>localBalance</t>
  </si>
  <si>
    <t>balance</t>
  </si>
  <si>
    <t>dateOut</t>
  </si>
  <si>
    <t>BT</t>
  </si>
  <si>
    <t>1000SHIB</t>
  </si>
  <si>
    <t>real</t>
  </si>
  <si>
    <t>tp dir</t>
  </si>
  <si>
    <t>recs</t>
  </si>
  <si>
    <t>tp Ind</t>
  </si>
  <si>
    <t>positives</t>
  </si>
  <si>
    <t>12--&gt;60%</t>
  </si>
  <si>
    <t>13--&gt;65%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</si>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</sst>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6" formatCode="0.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166" fontId="0" fillId="33" borderId="0" xfId="1" applyNumberFormat="1" applyFont="1" applyFill="1"/>
    <xf numFmtId="166" fontId="0" fillId="0" borderId="0" xfId="1" applyNumberFormat="1" applyFont="1" applyFill="1"/>
    <xf numFmtId="0" fontId="0" fillId="34" borderId="0" xfId="0" applyFill="1"/>
    <xf numFmtId="164" fontId="0" fillId="34" borderId="0" xfId="0" applyNumberFormat="1" applyFill="1"/>
    <xf numFmtId="166" fontId="0" fillId="34" borderId="0" xfId="1" applyNumberFormat="1" applyFont="1" applyFill="1"/>
    <xf numFmtId="166" fontId="0" fillId="0" borderId="0" xfId="0" applyNumberFormat="1"/>
    <xf numFmtId="0" fontId="0" fillId="35" borderId="0" xfId="0" applyFill="1"/>
    <xf numFmtId="0" fontId="0" fillId="0" borderId="0" xfId="0" applyFill="1"/>
    <xf numFmtId="0" fontId="0" fillId="36" borderId="0" xfId="0" applyFill="1"/>
    <xf numFmtId="164" fontId="0" fillId="36" borderId="0" xfId="0" applyNumberFormat="1" applyFill="1"/>
    <xf numFmtId="166" fontId="0" fillId="36" borderId="0" xfId="1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B158-0460-4A67-9F07-A758799393A1}">
  <dimension ref="A1:V102"/>
  <sheetViews>
    <sheetView workbookViewId="0">
      <pane ySplit="1" topLeftCell="A2" activePane="bottomLeft" state="frozen"/>
      <selection pane="bottomLeft" activeCell="K14" activeCellId="6" sqref="K2 K5 K6 K10 K12 K13 K14"/>
    </sheetView>
  </sheetViews>
  <sheetFormatPr defaultRowHeight="14.4" x14ac:dyDescent="0.3"/>
  <cols>
    <col min="1" max="1" width="13.33203125" bestFit="1" customWidth="1"/>
    <col min="5" max="5" width="11" bestFit="1" customWidth="1"/>
    <col min="6" max="6" width="18" bestFit="1" customWidth="1"/>
    <col min="8" max="8" width="11" bestFit="1" customWidth="1"/>
    <col min="9" max="9" width="18" bestFit="1" customWidth="1"/>
    <col min="17" max="17" width="11.6640625" bestFit="1" customWidth="1"/>
    <col min="19" max="19" width="10" bestFit="1" customWidth="1"/>
    <col min="20" max="21" width="12" bestFit="1" customWidth="1"/>
  </cols>
  <sheetData>
    <row r="1" spans="1:2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23</v>
      </c>
      <c r="G1" t="s">
        <v>16</v>
      </c>
      <c r="H1" t="s">
        <v>17</v>
      </c>
      <c r="I1" t="s">
        <v>31</v>
      </c>
      <c r="J1" t="s">
        <v>18</v>
      </c>
      <c r="K1" t="s">
        <v>19</v>
      </c>
      <c r="L1" t="s">
        <v>32</v>
      </c>
      <c r="M1" t="s">
        <v>20</v>
      </c>
      <c r="N1" t="s">
        <v>21</v>
      </c>
      <c r="O1" t="s">
        <v>24</v>
      </c>
      <c r="P1" t="s">
        <v>22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</row>
    <row r="2" spans="1:22" x14ac:dyDescent="0.3">
      <c r="A2" t="s">
        <v>9</v>
      </c>
      <c r="B2" t="s">
        <v>1</v>
      </c>
      <c r="C2" s="10" t="s">
        <v>8</v>
      </c>
      <c r="D2">
        <v>534</v>
      </c>
      <c r="E2">
        <v>1734750912.0594699</v>
      </c>
      <c r="F2" s="1">
        <f>E2/86400 + DATE(1970,1,1)</f>
        <v>45647.135556243869</v>
      </c>
      <c r="G2">
        <v>2.2681E-2</v>
      </c>
      <c r="H2">
        <v>1734757355.9563701</v>
      </c>
      <c r="I2" s="1">
        <f>H2/86400 + DATE(1970,1,1)</f>
        <v>45647.210138383918</v>
      </c>
      <c r="J2">
        <v>2.2769999999999999E-2</v>
      </c>
      <c r="K2">
        <v>-7.6956046303648202E-3</v>
      </c>
      <c r="L2">
        <v>-8.7299999999999999E-3</v>
      </c>
      <c r="M2">
        <v>-9.3206500603776596E-2</v>
      </c>
      <c r="N2">
        <v>-9.0815240000000005E-2</v>
      </c>
      <c r="O2" s="5">
        <f>(N2-M2)/M2</f>
        <v>-2.5655513170072818E-2</v>
      </c>
      <c r="P2">
        <v>-7.2623999999999994E-2</v>
      </c>
      <c r="Q2">
        <v>-1.8191240000000001E-2</v>
      </c>
      <c r="R2">
        <v>0</v>
      </c>
      <c r="S2">
        <v>3</v>
      </c>
      <c r="T2">
        <v>10.4849375233921</v>
      </c>
      <c r="U2">
        <v>4.7179427482366902</v>
      </c>
      <c r="V2">
        <v>9.92</v>
      </c>
    </row>
    <row r="3" spans="1:22" x14ac:dyDescent="0.3">
      <c r="C3" s="11"/>
      <c r="F3" s="1">
        <v>0.22222222222222221</v>
      </c>
      <c r="I3" s="1"/>
      <c r="O3" s="5"/>
    </row>
    <row r="4" spans="1:22" x14ac:dyDescent="0.3">
      <c r="A4" t="s">
        <v>9</v>
      </c>
      <c r="B4" t="s">
        <v>4</v>
      </c>
      <c r="C4" s="10" t="s">
        <v>2</v>
      </c>
      <c r="D4">
        <v>509</v>
      </c>
      <c r="E4">
        <v>1734769210.5548999</v>
      </c>
      <c r="F4" s="1">
        <f>E4/86400 + DATE(1970,1,1)</f>
        <v>45647.347344385416</v>
      </c>
      <c r="G4">
        <v>2.3591999999999998E-2</v>
      </c>
      <c r="H4">
        <v>1734770530.01862</v>
      </c>
      <c r="I4" s="1">
        <f t="shared" ref="I3:I66" si="0">H4/86400 + DATE(1970,1,1)</f>
        <v>45647.362615956255</v>
      </c>
      <c r="J4">
        <v>2.3355999999999998E-2</v>
      </c>
      <c r="K4">
        <v>1.00033909799932E-2</v>
      </c>
      <c r="L4">
        <v>9.1999999999999998E-3</v>
      </c>
      <c r="M4">
        <v>0.12012399999999999</v>
      </c>
      <c r="N4">
        <v>0.11774635999999999</v>
      </c>
      <c r="O4" s="5">
        <f>(N4-M4)/M4</f>
        <v>-1.9793213679198167E-2</v>
      </c>
      <c r="P4">
        <v>0.12012399999999999</v>
      </c>
      <c r="Q4">
        <v>-2.3776399999999999E-3</v>
      </c>
      <c r="R4">
        <v>0</v>
      </c>
      <c r="S4">
        <v>1</v>
      </c>
      <c r="T4">
        <v>11.570730116070401</v>
      </c>
      <c r="U4">
        <v>5.8037353409149697</v>
      </c>
      <c r="V4">
        <v>10.51</v>
      </c>
    </row>
    <row r="5" spans="1:22" x14ac:dyDescent="0.3">
      <c r="A5" t="s">
        <v>9</v>
      </c>
      <c r="B5" t="s">
        <v>1</v>
      </c>
      <c r="C5" s="10" t="s">
        <v>8</v>
      </c>
      <c r="D5">
        <v>520</v>
      </c>
      <c r="E5">
        <v>1734772849.2661099</v>
      </c>
      <c r="F5" s="1">
        <f>E5/86400 + DATE(1970,1,1)</f>
        <v>45647.3894590985</v>
      </c>
      <c r="G5">
        <v>2.3314999999999999E-2</v>
      </c>
      <c r="H5">
        <v>1734777371.4482901</v>
      </c>
      <c r="I5" s="1">
        <f t="shared" si="0"/>
        <v>45647.441799170025</v>
      </c>
      <c r="J5">
        <v>2.333E-2</v>
      </c>
      <c r="K5">
        <v>-1.09635685656869E-2</v>
      </c>
      <c r="L5">
        <v>-1.0529999999999999E-2</v>
      </c>
      <c r="M5">
        <v>-0.13292011257667499</v>
      </c>
      <c r="N5">
        <v>-0.130509599999999</v>
      </c>
      <c r="O5" s="5">
        <f>(N5-M5)/M5</f>
        <v>-1.8135047660943589E-2</v>
      </c>
      <c r="P5">
        <v>-0.11232</v>
      </c>
      <c r="Q5">
        <v>-1.81896E-2</v>
      </c>
      <c r="R5">
        <v>0</v>
      </c>
      <c r="S5">
        <v>3</v>
      </c>
      <c r="T5">
        <v>11.339683512906101</v>
      </c>
      <c r="U5">
        <v>5.5726887377507097</v>
      </c>
      <c r="V5">
        <v>10.53</v>
      </c>
    </row>
    <row r="6" spans="1:22" x14ac:dyDescent="0.3">
      <c r="A6" t="s">
        <v>9</v>
      </c>
      <c r="B6" t="s">
        <v>4</v>
      </c>
      <c r="C6" s="10" t="s">
        <v>8</v>
      </c>
      <c r="D6">
        <v>516</v>
      </c>
      <c r="E6">
        <v>1734778831.723</v>
      </c>
      <c r="F6" s="1">
        <f>E6/86400 + DATE(1970,1,1)</f>
        <v>45647.458700497686</v>
      </c>
      <c r="G6">
        <v>2.3016999999999999E-2</v>
      </c>
      <c r="H6">
        <v>1734783939.64658</v>
      </c>
      <c r="I6" s="1">
        <f t="shared" si="0"/>
        <v>45647.517819983565</v>
      </c>
      <c r="J6">
        <v>2.2867999999999999E-2</v>
      </c>
      <c r="K6">
        <v>-5.2331813654872203E-3</v>
      </c>
      <c r="L6">
        <v>-4.2500000000000003E-3</v>
      </c>
      <c r="M6">
        <v>-6.2153301912540398E-2</v>
      </c>
      <c r="N6">
        <v>-6.215271E-2</v>
      </c>
      <c r="O6" s="5">
        <f>(N6-M6)/M6</f>
        <v>-9.5234287187429287E-6</v>
      </c>
      <c r="P6">
        <v>-4.4375999999999999E-2</v>
      </c>
      <c r="Q6">
        <v>-1.7776710000000001E-2</v>
      </c>
      <c r="R6">
        <v>0</v>
      </c>
      <c r="S6">
        <v>3</v>
      </c>
      <c r="T6">
        <v>11.2647867476805</v>
      </c>
      <c r="U6">
        <v>5.4977919725250803</v>
      </c>
      <c r="V6">
        <v>10.3</v>
      </c>
    </row>
    <row r="7" spans="1:22" x14ac:dyDescent="0.3">
      <c r="A7" t="s">
        <v>9</v>
      </c>
      <c r="B7" t="s">
        <v>4</v>
      </c>
      <c r="C7" s="10" t="s">
        <v>2</v>
      </c>
      <c r="D7">
        <v>537</v>
      </c>
      <c r="E7">
        <v>1734786631.6494601</v>
      </c>
      <c r="F7" s="1">
        <f>E7/86400 + DATE(1970,1,1)</f>
        <v>45647.548977424303</v>
      </c>
      <c r="G7">
        <v>2.2342999999999998E-2</v>
      </c>
      <c r="H7">
        <v>1734787037.1774399</v>
      </c>
      <c r="I7" s="1">
        <f t="shared" si="0"/>
        <v>45647.553671035188</v>
      </c>
      <c r="J7">
        <v>2.2120000000000001E-2</v>
      </c>
      <c r="K7">
        <v>9.9807545987556506E-3</v>
      </c>
      <c r="L7">
        <v>9.1999999999999998E-3</v>
      </c>
      <c r="M7">
        <v>0.119750999999998</v>
      </c>
      <c r="N7">
        <v>0.11737531999999901</v>
      </c>
      <c r="O7" s="5">
        <f>(N7-M7)/M7</f>
        <v>-1.98384982171258E-2</v>
      </c>
      <c r="P7">
        <v>0.119751</v>
      </c>
      <c r="Q7">
        <v>-2.3756799999999998E-3</v>
      </c>
      <c r="R7">
        <v>0</v>
      </c>
      <c r="S7">
        <v>1</v>
      </c>
      <c r="T7">
        <v>11.352073231383301</v>
      </c>
      <c r="U7">
        <v>5.5850784562279197</v>
      </c>
      <c r="V7">
        <v>10.64</v>
      </c>
    </row>
    <row r="8" spans="1:22" x14ac:dyDescent="0.3">
      <c r="A8" t="s">
        <v>9</v>
      </c>
      <c r="B8" t="s">
        <v>1</v>
      </c>
      <c r="C8" s="10" t="s">
        <v>2</v>
      </c>
      <c r="D8">
        <v>543</v>
      </c>
      <c r="E8">
        <v>1734789612.63462</v>
      </c>
      <c r="F8" s="1">
        <f>E8/86400 + DATE(1970,1,1)</f>
        <v>45647.583479567358</v>
      </c>
      <c r="G8">
        <v>2.2119E-2</v>
      </c>
      <c r="H8">
        <v>1734790458.0917499</v>
      </c>
      <c r="I8" s="1">
        <f t="shared" si="0"/>
        <v>45647.59326495081</v>
      </c>
      <c r="J8">
        <v>2.2339999999999999E-2</v>
      </c>
      <c r="K8">
        <v>9.9914100999140502E-3</v>
      </c>
      <c r="L8">
        <v>9.1999999999999998E-3</v>
      </c>
      <c r="M8">
        <v>0.120002999999999</v>
      </c>
      <c r="N8">
        <v>0.11757687999999999</v>
      </c>
      <c r="O8" s="5">
        <f>(N8-M8)/M8</f>
        <v>-2.0217161237627599E-2</v>
      </c>
      <c r="P8">
        <v>0.120003</v>
      </c>
      <c r="Q8">
        <v>-2.4261199999999999E-3</v>
      </c>
      <c r="R8">
        <v>0</v>
      </c>
      <c r="S8">
        <v>1</v>
      </c>
      <c r="T8">
        <v>11.5930362313833</v>
      </c>
      <c r="U8">
        <v>5.8260414562279204</v>
      </c>
      <c r="V8">
        <v>10.87</v>
      </c>
    </row>
    <row r="9" spans="1:22" x14ac:dyDescent="0.3">
      <c r="A9" s="6" t="s">
        <v>9</v>
      </c>
      <c r="B9" s="6" t="s">
        <v>4</v>
      </c>
      <c r="C9" s="10" t="s">
        <v>6</v>
      </c>
      <c r="D9" s="6">
        <v>540</v>
      </c>
      <c r="E9" s="6">
        <v>1734794411.6282599</v>
      </c>
      <c r="F9" s="7">
        <f>E9/86400 + DATE(1970,1,1)</f>
        <v>45647.639023475233</v>
      </c>
      <c r="G9" s="6">
        <v>2.1992000000000001E-2</v>
      </c>
      <c r="H9" s="6">
        <v>1734799042.4640701</v>
      </c>
      <c r="I9" s="1">
        <f t="shared" si="0"/>
        <v>45647.692621111921</v>
      </c>
      <c r="J9" s="6">
        <v>2.1994E-2</v>
      </c>
      <c r="K9" s="6">
        <v>-3.1812011275409599E-2</v>
      </c>
      <c r="L9" s="6">
        <v>-3.2399999999999998E-2</v>
      </c>
      <c r="M9" s="6">
        <v>-0.37778926606315599</v>
      </c>
      <c r="N9" s="6">
        <v>-0.40631420999999901</v>
      </c>
      <c r="O9" s="8">
        <f>(N9-M9)/M9</f>
        <v>7.550490842181426E-2</v>
      </c>
      <c r="P9" s="6">
        <v>-0.36341997999999998</v>
      </c>
      <c r="Q9" s="6">
        <v>-4.1687439999999999E-2</v>
      </c>
      <c r="R9" s="6">
        <v>-1.2067899999999999E-3</v>
      </c>
      <c r="S9" s="6">
        <v>6</v>
      </c>
      <c r="T9" s="6">
        <v>10.957733895113</v>
      </c>
      <c r="U9" s="6">
        <v>5.1907391199576303</v>
      </c>
      <c r="V9" s="6">
        <v>9.7200000000000006</v>
      </c>
    </row>
    <row r="10" spans="1:22" x14ac:dyDescent="0.3">
      <c r="A10" t="s">
        <v>9</v>
      </c>
      <c r="B10" t="s">
        <v>4</v>
      </c>
      <c r="C10" s="10" t="s">
        <v>8</v>
      </c>
      <c r="D10">
        <v>541</v>
      </c>
      <c r="E10">
        <v>1734803453.4463699</v>
      </c>
      <c r="F10" s="1">
        <f>E10/86400 + DATE(1970,1,1)</f>
        <v>45647.743674147801</v>
      </c>
      <c r="G10">
        <v>2.1942E-2</v>
      </c>
      <c r="H10">
        <v>1734809789.3389699</v>
      </c>
      <c r="I10" s="1">
        <f t="shared" si="0"/>
        <v>45647.817006238081</v>
      </c>
      <c r="J10">
        <v>2.1533E-2</v>
      </c>
      <c r="K10">
        <v>6.8005273844967797E-3</v>
      </c>
      <c r="L10">
        <v>3.8400000000000001E-3</v>
      </c>
      <c r="M10">
        <v>8.0726489982009902E-2</v>
      </c>
      <c r="N10">
        <v>8.0677729999999906E-2</v>
      </c>
      <c r="O10" s="5">
        <f>(N10-M10)/M10</f>
        <v>-6.0401464278779895E-4</v>
      </c>
      <c r="P10">
        <v>9.83730099999999E-2</v>
      </c>
      <c r="Q10">
        <v>-1.7695280000000001E-2</v>
      </c>
      <c r="R10">
        <v>0</v>
      </c>
      <c r="S10">
        <v>3</v>
      </c>
      <c r="T10">
        <v>10.306548748457899</v>
      </c>
      <c r="U10">
        <v>4.5395539733025299</v>
      </c>
      <c r="V10">
        <v>8.7799999999999994</v>
      </c>
    </row>
    <row r="11" spans="1:22" s="12" customFormat="1" x14ac:dyDescent="0.3">
      <c r="A11" s="12" t="s">
        <v>9</v>
      </c>
      <c r="B11" s="12" t="s">
        <v>1</v>
      </c>
      <c r="C11" s="12" t="s">
        <v>2</v>
      </c>
      <c r="D11" s="12">
        <v>551</v>
      </c>
      <c r="E11" s="12">
        <v>1734810933.2386601</v>
      </c>
      <c r="F11" s="13">
        <f>E11/86400 + DATE(1970,1,1)</f>
        <v>45647.830245817822</v>
      </c>
      <c r="G11" s="12">
        <v>2.1779E-2</v>
      </c>
      <c r="H11" s="12">
        <v>1734811276.2130799</v>
      </c>
      <c r="I11" s="13">
        <f t="shared" si="0"/>
        <v>45647.83421542916</v>
      </c>
      <c r="J11" s="12">
        <v>2.1996999999999999E-2</v>
      </c>
      <c r="K11" s="12">
        <v>1.00096423159924E-2</v>
      </c>
      <c r="M11" s="12">
        <v>0.120117999999999</v>
      </c>
      <c r="N11" s="12">
        <v>0.11769394</v>
      </c>
      <c r="O11" s="14">
        <f>(N11-M11)/M11</f>
        <v>-2.0180655688564798E-2</v>
      </c>
      <c r="P11" s="12">
        <v>0.120118</v>
      </c>
      <c r="Q11" s="12">
        <v>-2.42406E-3</v>
      </c>
      <c r="R11" s="12">
        <v>0</v>
      </c>
      <c r="S11" s="12">
        <v>1</v>
      </c>
      <c r="T11" s="12">
        <v>9.4604521033680999</v>
      </c>
      <c r="U11" s="12">
        <v>3.6934573282126402</v>
      </c>
      <c r="V11" s="12">
        <v>8.23</v>
      </c>
    </row>
    <row r="12" spans="1:22" s="12" customFormat="1" x14ac:dyDescent="0.3">
      <c r="A12" s="12" t="s">
        <v>9</v>
      </c>
      <c r="B12" s="12" t="s">
        <v>4</v>
      </c>
      <c r="C12" s="12" t="s">
        <v>8</v>
      </c>
      <c r="D12" s="12">
        <v>541</v>
      </c>
      <c r="E12" s="12">
        <v>1734811852.2738099</v>
      </c>
      <c r="F12" s="13">
        <f>E12/86400 + DATE(1970,1,1)</f>
        <v>45647.84088279873</v>
      </c>
      <c r="G12" s="12">
        <v>2.1909000000000001E-2</v>
      </c>
      <c r="H12" s="12">
        <v>1734816880.7889299</v>
      </c>
      <c r="I12" s="13">
        <f t="shared" si="0"/>
        <v>45647.899083205208</v>
      </c>
      <c r="J12" s="12">
        <v>2.1735000000000001E-2</v>
      </c>
      <c r="K12" s="12">
        <v>-3.6445020737195101E-3</v>
      </c>
      <c r="M12" s="12">
        <v>-4.3197441199818401E-2</v>
      </c>
      <c r="N12" s="12">
        <v>-4.3159069999999897E-2</v>
      </c>
      <c r="O12" s="14">
        <f>(N12-M12)/M12</f>
        <v>-8.8827483185892158E-4</v>
      </c>
      <c r="P12" s="12">
        <v>-2.5427000000000002E-2</v>
      </c>
      <c r="Q12" s="12">
        <v>-1.7732069999999999E-2</v>
      </c>
      <c r="R12" s="12">
        <v>0</v>
      </c>
      <c r="S12" s="12">
        <v>2</v>
      </c>
      <c r="T12" s="12">
        <v>9.6585946621682801</v>
      </c>
      <c r="U12" s="12">
        <v>3.8915998870128199</v>
      </c>
      <c r="V12" s="12">
        <v>8.1199999999999992</v>
      </c>
    </row>
    <row r="13" spans="1:22" s="12" customFormat="1" x14ac:dyDescent="0.3">
      <c r="A13" s="12" t="s">
        <v>9</v>
      </c>
      <c r="B13" s="12" t="s">
        <v>4</v>
      </c>
      <c r="C13" s="12" t="s">
        <v>8</v>
      </c>
      <c r="D13" s="12">
        <v>556</v>
      </c>
      <c r="E13" s="12">
        <v>1734817840.13767</v>
      </c>
      <c r="F13" s="13">
        <f>E13/86400 + DATE(1970,1,1)</f>
        <v>45647.910186778587</v>
      </c>
      <c r="G13" s="12">
        <v>2.1582E-2</v>
      </c>
      <c r="H13" s="12">
        <v>1734823675.2537401</v>
      </c>
      <c r="I13" s="13">
        <f t="shared" si="0"/>
        <v>45647.977722844211</v>
      </c>
      <c r="J13" s="12">
        <v>2.1729999999999999E-2</v>
      </c>
      <c r="K13" s="12">
        <v>-2.9450322261298501E-2</v>
      </c>
      <c r="M13" s="12">
        <v>-0.35339185140410001</v>
      </c>
      <c r="N13" s="12">
        <v>-0.35597786999999997</v>
      </c>
      <c r="O13" s="14">
        <f>(N13-M13)/M13</f>
        <v>7.3177086161584342E-3</v>
      </c>
      <c r="P13" s="12">
        <v>-0.32581599999999999</v>
      </c>
      <c r="Q13" s="12">
        <v>-3.016187E-2</v>
      </c>
      <c r="R13" s="12">
        <v>0</v>
      </c>
      <c r="S13" s="12">
        <v>4</v>
      </c>
      <c r="T13" s="12">
        <v>9.2931383387062603</v>
      </c>
      <c r="U13" s="12">
        <v>3.5261435635508001</v>
      </c>
      <c r="V13" s="12">
        <v>7.15</v>
      </c>
    </row>
    <row r="14" spans="1:22" x14ac:dyDescent="0.3">
      <c r="A14" t="s">
        <v>9</v>
      </c>
      <c r="B14" t="s">
        <v>4</v>
      </c>
      <c r="C14" s="10" t="s">
        <v>8</v>
      </c>
      <c r="D14">
        <v>556</v>
      </c>
      <c r="E14">
        <v>1734824748.9685099</v>
      </c>
      <c r="F14" s="1">
        <f>E14/86400 + DATE(1970,1,1)</f>
        <v>45647.9901500985</v>
      </c>
      <c r="G14">
        <v>2.1589000000000001E-2</v>
      </c>
      <c r="H14">
        <v>1734831537.34553</v>
      </c>
      <c r="I14" s="1">
        <f t="shared" si="0"/>
        <v>45648.068719276969</v>
      </c>
      <c r="J14">
        <v>2.1427000000000002E-2</v>
      </c>
      <c r="K14">
        <v>-1.49420700390629E-2</v>
      </c>
      <c r="L14">
        <v>-1.5820000000000001E-2</v>
      </c>
      <c r="M14">
        <v>-0.17935689864077101</v>
      </c>
      <c r="N14">
        <v>-0.18112993999999999</v>
      </c>
      <c r="O14" s="5">
        <f>(N14-M14)/M14</f>
        <v>9.8855487169197693E-3</v>
      </c>
      <c r="P14">
        <v>-0.15178799999999901</v>
      </c>
      <c r="Q14">
        <v>-3.008541E-2</v>
      </c>
      <c r="R14">
        <v>7.4346999999999998E-4</v>
      </c>
      <c r="S14">
        <v>4</v>
      </c>
      <c r="T14">
        <v>7.9242184484815299</v>
      </c>
      <c r="U14">
        <v>2.1572236733260701</v>
      </c>
      <c r="V14">
        <v>5.93</v>
      </c>
    </row>
    <row r="15" spans="1:22" x14ac:dyDescent="0.3">
      <c r="A15" t="s">
        <v>9</v>
      </c>
      <c r="B15" t="s">
        <v>4</v>
      </c>
      <c r="C15" s="10" t="s">
        <v>2</v>
      </c>
      <c r="D15">
        <v>555</v>
      </c>
      <c r="E15">
        <v>1734834930.46823</v>
      </c>
      <c r="F15" s="1">
        <f>E15/86400 + DATE(1970,1,1)</f>
        <v>45648.107991530444</v>
      </c>
      <c r="G15">
        <v>2.1609E-2</v>
      </c>
      <c r="H15">
        <v>1734836728.52301</v>
      </c>
      <c r="I15" s="1">
        <f t="shared" si="0"/>
        <v>45648.128802349653</v>
      </c>
      <c r="J15">
        <v>2.1392999999999999E-2</v>
      </c>
      <c r="K15">
        <v>9.9958350687213999E-3</v>
      </c>
      <c r="M15">
        <v>0.11988</v>
      </c>
      <c r="N15">
        <v>0.11750538000000001</v>
      </c>
      <c r="O15" s="5">
        <f>(N15-M15)/M15</f>
        <v>-1.9808308308308258E-2</v>
      </c>
      <c r="P15">
        <v>0.11988</v>
      </c>
      <c r="Q15">
        <v>-2.37462E-3</v>
      </c>
      <c r="R15">
        <v>0</v>
      </c>
      <c r="S15">
        <v>1</v>
      </c>
      <c r="T15">
        <v>7.6845703056291796</v>
      </c>
      <c r="U15">
        <v>1.9175755304737201</v>
      </c>
      <c r="V15">
        <v>6.21</v>
      </c>
    </row>
    <row r="16" spans="1:22" x14ac:dyDescent="0.3">
      <c r="A16" t="s">
        <v>9</v>
      </c>
      <c r="B16" t="s">
        <v>4</v>
      </c>
      <c r="C16" s="12" t="s">
        <v>10</v>
      </c>
      <c r="D16">
        <v>552</v>
      </c>
      <c r="E16">
        <v>1734838550.9900301</v>
      </c>
      <c r="F16" s="1">
        <f>E16/86400 + DATE(1970,1,1)</f>
        <v>45648.149895717943</v>
      </c>
      <c r="G16">
        <v>2.1486999999999999E-2</v>
      </c>
      <c r="H16">
        <v>1734844005.3487899</v>
      </c>
      <c r="I16" s="1">
        <f t="shared" si="0"/>
        <v>45648.213024870252</v>
      </c>
      <c r="J16">
        <v>2.104E-2</v>
      </c>
      <c r="K16">
        <v>1.00051193779362E-2</v>
      </c>
      <c r="M16">
        <v>0.118668960040691</v>
      </c>
      <c r="N16">
        <v>0.11277637</v>
      </c>
      <c r="O16" s="5">
        <f>(N16-M16)/M16</f>
        <v>-4.9655697991037043E-2</v>
      </c>
      <c r="P16">
        <v>0.12695999999999999</v>
      </c>
      <c r="Q16">
        <v>-1.4183629999999999E-2</v>
      </c>
      <c r="R16">
        <v>0</v>
      </c>
      <c r="S16">
        <v>2</v>
      </c>
      <c r="T16">
        <v>7.8527317612091201</v>
      </c>
      <c r="U16">
        <v>2.0857369860536599</v>
      </c>
      <c r="V16">
        <v>5.94</v>
      </c>
    </row>
    <row r="17" spans="1:22" x14ac:dyDescent="0.3">
      <c r="A17" t="s">
        <v>9</v>
      </c>
      <c r="B17" t="s">
        <v>1</v>
      </c>
      <c r="C17" s="10" t="s">
        <v>2</v>
      </c>
      <c r="D17">
        <v>571</v>
      </c>
      <c r="E17">
        <v>1734845435.88761</v>
      </c>
      <c r="F17" s="1">
        <f>E17/86400 + DATE(1970,1,1)</f>
        <v>45648.229582032523</v>
      </c>
      <c r="G17">
        <v>2.1021000000000001E-2</v>
      </c>
      <c r="H17">
        <v>1734845764.2641301</v>
      </c>
      <c r="I17" s="1">
        <f t="shared" si="0"/>
        <v>45648.233382686696</v>
      </c>
      <c r="J17">
        <v>2.1231E-2</v>
      </c>
      <c r="K17">
        <v>9.9900099900099102E-3</v>
      </c>
      <c r="M17">
        <v>0.119909999999999</v>
      </c>
      <c r="N17">
        <v>0.11748541999999999</v>
      </c>
      <c r="O17" s="5">
        <f>(N17-M17)/M17</f>
        <v>-2.0219998332074308E-2</v>
      </c>
      <c r="P17">
        <v>0.11991</v>
      </c>
      <c r="Q17">
        <v>-2.42458E-3</v>
      </c>
      <c r="R17">
        <v>0</v>
      </c>
      <c r="S17">
        <v>1</v>
      </c>
      <c r="T17">
        <v>8.0178465673264103</v>
      </c>
      <c r="U17">
        <v>2.2508517921709501</v>
      </c>
      <c r="V17">
        <v>6.33</v>
      </c>
    </row>
    <row r="18" spans="1:22" x14ac:dyDescent="0.3">
      <c r="A18" t="s">
        <v>9</v>
      </c>
      <c r="B18" t="s">
        <v>1</v>
      </c>
      <c r="C18" t="s">
        <v>2</v>
      </c>
      <c r="D18">
        <v>564</v>
      </c>
      <c r="E18">
        <v>1734846608.63837</v>
      </c>
      <c r="F18" s="1">
        <f>E18/86400 + DATE(1970,1,1)</f>
        <v>45648.243155536693</v>
      </c>
      <c r="G18">
        <v>2.1274999999999999E-2</v>
      </c>
      <c r="H18">
        <v>1734848595.5810699</v>
      </c>
      <c r="I18" s="1">
        <f t="shared" si="0"/>
        <v>45648.266152558681</v>
      </c>
      <c r="J18">
        <v>2.1488E-2</v>
      </c>
      <c r="K18">
        <v>1.00117508813161E-2</v>
      </c>
      <c r="M18">
        <v>0.120132</v>
      </c>
      <c r="N18">
        <v>0.11770816000000001</v>
      </c>
      <c r="O18" s="5">
        <f>(N18-M18)/M18</f>
        <v>-2.0176472546865085E-2</v>
      </c>
      <c r="P18">
        <v>0.120132</v>
      </c>
      <c r="Q18">
        <v>-2.42384E-3</v>
      </c>
      <c r="R18">
        <v>0</v>
      </c>
      <c r="S18">
        <v>1</v>
      </c>
      <c r="T18">
        <v>8.1513011810586793</v>
      </c>
      <c r="U18">
        <v>2.38430640590322</v>
      </c>
      <c r="V18">
        <v>6.6</v>
      </c>
    </row>
    <row r="19" spans="1:22" x14ac:dyDescent="0.3">
      <c r="A19" t="s">
        <v>9</v>
      </c>
      <c r="B19" t="s">
        <v>4</v>
      </c>
      <c r="C19" t="s">
        <v>6</v>
      </c>
      <c r="D19">
        <v>542</v>
      </c>
      <c r="E19">
        <v>1734862871.0926199</v>
      </c>
      <c r="F19" s="1">
        <f>E19/86400 + DATE(1970,1,1)</f>
        <v>45648.431378386806</v>
      </c>
      <c r="G19">
        <v>2.1895000000000001E-2</v>
      </c>
      <c r="H19">
        <v>1734872908.8988299</v>
      </c>
      <c r="I19" s="1">
        <f t="shared" si="0"/>
        <v>45648.547556699421</v>
      </c>
      <c r="J19">
        <v>2.1906999999999999E-2</v>
      </c>
      <c r="K19">
        <v>-3.1259888758128899E-2</v>
      </c>
      <c r="M19">
        <v>-0.37096391328270401</v>
      </c>
      <c r="N19">
        <v>-0.40913869000000003</v>
      </c>
      <c r="O19" s="5">
        <f>(N19-M19)/M19</f>
        <v>0.10290698192037835</v>
      </c>
      <c r="P19">
        <v>-0.36747598999999997</v>
      </c>
      <c r="Q19">
        <v>-4.1662699999999997E-2</v>
      </c>
      <c r="R19">
        <v>0</v>
      </c>
      <c r="S19">
        <v>6</v>
      </c>
      <c r="T19">
        <v>6.7961507864474502</v>
      </c>
      <c r="U19">
        <v>1.02915601129199</v>
      </c>
      <c r="V19">
        <v>4.5199999999999996</v>
      </c>
    </row>
    <row r="20" spans="1:22" x14ac:dyDescent="0.3">
      <c r="A20" t="s">
        <v>9</v>
      </c>
      <c r="B20" t="s">
        <v>4</v>
      </c>
      <c r="C20" t="s">
        <v>2</v>
      </c>
      <c r="D20">
        <v>547</v>
      </c>
      <c r="E20">
        <v>1734873010.83424</v>
      </c>
      <c r="F20" s="1">
        <f>E20/86400 + DATE(1970,1,1)</f>
        <v>45648.548736507408</v>
      </c>
      <c r="G20">
        <v>2.1956E-2</v>
      </c>
      <c r="H20">
        <v>1734876564.0061901</v>
      </c>
      <c r="I20" s="1">
        <f t="shared" si="0"/>
        <v>45648.589861182758</v>
      </c>
      <c r="J20">
        <v>2.1735999999999998E-2</v>
      </c>
      <c r="K20">
        <v>1.0020040080160299E-2</v>
      </c>
      <c r="M20">
        <v>0.12034</v>
      </c>
      <c r="N20">
        <v>0.11796209000000001</v>
      </c>
      <c r="O20" s="5">
        <f>(N20-M20)/M20</f>
        <v>-1.9759930197772949E-2</v>
      </c>
      <c r="P20">
        <v>0.12034</v>
      </c>
      <c r="Q20">
        <v>-2.37791E-3</v>
      </c>
      <c r="R20">
        <v>0</v>
      </c>
      <c r="S20">
        <v>1</v>
      </c>
      <c r="T20">
        <v>6.0377712574471296</v>
      </c>
      <c r="U20">
        <v>0.27077648229167001</v>
      </c>
      <c r="V20">
        <v>4</v>
      </c>
    </row>
    <row r="21" spans="1:22" x14ac:dyDescent="0.3">
      <c r="A21" t="s">
        <v>9</v>
      </c>
      <c r="B21" t="s">
        <v>4</v>
      </c>
      <c r="C21" t="s">
        <v>2</v>
      </c>
      <c r="D21">
        <v>552</v>
      </c>
      <c r="E21">
        <v>1734877230.0565801</v>
      </c>
      <c r="F21" s="1">
        <f>E21/86400 + DATE(1970,1,1)</f>
        <v>45648.597570099308</v>
      </c>
      <c r="G21">
        <v>2.1749000000000001E-2</v>
      </c>
      <c r="H21">
        <v>1734877609.6089301</v>
      </c>
      <c r="I21" s="1">
        <f t="shared" si="0"/>
        <v>45648.601963066321</v>
      </c>
      <c r="J21">
        <v>2.1531999999999999E-2</v>
      </c>
      <c r="K21">
        <v>9.97747022851634E-3</v>
      </c>
      <c r="M21">
        <v>0.119784000000001</v>
      </c>
      <c r="N21">
        <v>0.11740687</v>
      </c>
      <c r="O21" s="5">
        <f>(N21-M21)/M21</f>
        <v>-1.9845137914921731E-2</v>
      </c>
      <c r="P21">
        <v>0.119784</v>
      </c>
      <c r="Q21">
        <v>-2.3771299999999999E-3</v>
      </c>
      <c r="R21">
        <v>0</v>
      </c>
      <c r="S21">
        <v>1</v>
      </c>
      <c r="T21">
        <v>6.3946215344307298</v>
      </c>
      <c r="U21">
        <v>0.627626759275278</v>
      </c>
      <c r="V21">
        <v>4.47</v>
      </c>
    </row>
    <row r="22" spans="1:22" x14ac:dyDescent="0.3">
      <c r="A22" t="s">
        <v>9</v>
      </c>
      <c r="B22" t="s">
        <v>1</v>
      </c>
      <c r="C22" t="s">
        <v>10</v>
      </c>
      <c r="D22">
        <v>558</v>
      </c>
      <c r="E22">
        <v>1734882630.8092799</v>
      </c>
      <c r="F22" s="1">
        <f>E22/86400 + DATE(1970,1,1)</f>
        <v>45648.66007881111</v>
      </c>
      <c r="G22">
        <v>2.1727E-2</v>
      </c>
      <c r="H22">
        <v>1734885358.6443999</v>
      </c>
      <c r="I22" s="1">
        <f t="shared" si="0"/>
        <v>45648.691650976849</v>
      </c>
      <c r="J22">
        <v>2.2179999999999998E-2</v>
      </c>
      <c r="K22">
        <v>1.00082599151736E-2</v>
      </c>
      <c r="M22">
        <v>0.121336800452753</v>
      </c>
      <c r="N22">
        <v>0.11787613</v>
      </c>
      <c r="O22" s="5">
        <f>(N22-M22)/M22</f>
        <v>-2.8521194228296319E-2</v>
      </c>
      <c r="P22">
        <v>0.132246</v>
      </c>
      <c r="Q22">
        <v>-1.459893E-2</v>
      </c>
      <c r="R22">
        <v>2.2906000000000001E-4</v>
      </c>
      <c r="S22">
        <v>3</v>
      </c>
      <c r="T22">
        <v>6.9942739560268796</v>
      </c>
      <c r="U22">
        <v>1.2272791808714201</v>
      </c>
      <c r="V22">
        <v>4.82</v>
      </c>
    </row>
    <row r="23" spans="1:22" x14ac:dyDescent="0.3">
      <c r="A23" t="s">
        <v>0</v>
      </c>
      <c r="B23" t="s">
        <v>1</v>
      </c>
      <c r="C23" t="s">
        <v>2</v>
      </c>
      <c r="D23">
        <v>27.8</v>
      </c>
      <c r="E23">
        <v>1734759908.48264</v>
      </c>
      <c r="F23" s="1">
        <f>E23/86400 + DATE(1970,1,1)</f>
        <v>45647.239681512037</v>
      </c>
      <c r="G23">
        <v>0.43219999999999997</v>
      </c>
      <c r="H23">
        <v>1734760217.5364699</v>
      </c>
      <c r="I23" s="1">
        <f t="shared" si="0"/>
        <v>45647.243258523959</v>
      </c>
      <c r="J23">
        <v>0.4365</v>
      </c>
      <c r="K23">
        <v>9.9490976399815492E-3</v>
      </c>
      <c r="M23">
        <v>0.11953999999999999</v>
      </c>
      <c r="N23">
        <v>0.11711306</v>
      </c>
      <c r="O23" s="5">
        <f>(N23-M23)/M23</f>
        <v>-2.0302325581395254E-2</v>
      </c>
      <c r="P23">
        <v>0.11953999999999999</v>
      </c>
      <c r="Q23">
        <v>-2.4269399999999998E-3</v>
      </c>
      <c r="R23">
        <v>0</v>
      </c>
      <c r="S23">
        <v>2</v>
      </c>
      <c r="T23">
        <v>10.9674675233921</v>
      </c>
      <c r="U23">
        <v>5.2004727482366899</v>
      </c>
      <c r="V23">
        <v>10.38</v>
      </c>
    </row>
    <row r="24" spans="1:22" x14ac:dyDescent="0.3">
      <c r="A24" t="s">
        <v>0</v>
      </c>
      <c r="B24" t="s">
        <v>1</v>
      </c>
      <c r="C24" t="s">
        <v>2</v>
      </c>
      <c r="D24">
        <v>27.4</v>
      </c>
      <c r="E24">
        <v>1734763208.7876999</v>
      </c>
      <c r="F24" s="1">
        <f>E24/86400 + DATE(1970,1,1)</f>
        <v>45647.277879487272</v>
      </c>
      <c r="G24">
        <v>0.43790000000000001</v>
      </c>
      <c r="H24">
        <v>1734766455.8382399</v>
      </c>
      <c r="I24" s="1">
        <f t="shared" si="0"/>
        <v>45647.315461090737</v>
      </c>
      <c r="J24">
        <v>0.44230000000000003</v>
      </c>
      <c r="K24">
        <v>1.00479561543731E-2</v>
      </c>
      <c r="M24">
        <v>0.12056</v>
      </c>
      <c r="N24">
        <v>0.11813620999999901</v>
      </c>
      <c r="O24" s="5">
        <f>(N24-M24)/M24</f>
        <v>-2.0104429329802539E-2</v>
      </c>
      <c r="P24">
        <v>0.12056</v>
      </c>
      <c r="Q24">
        <v>-2.4237899999999999E-3</v>
      </c>
      <c r="R24">
        <v>0</v>
      </c>
      <c r="S24">
        <v>2</v>
      </c>
      <c r="T24">
        <v>11.3286661160704</v>
      </c>
      <c r="U24">
        <v>5.5616713409149696</v>
      </c>
      <c r="V24">
        <v>10.71</v>
      </c>
    </row>
    <row r="25" spans="1:22" x14ac:dyDescent="0.3">
      <c r="A25" t="s">
        <v>0</v>
      </c>
      <c r="B25" t="s">
        <v>4</v>
      </c>
      <c r="C25" t="s">
        <v>2</v>
      </c>
      <c r="D25">
        <v>27.7</v>
      </c>
      <c r="E25">
        <v>1734770412.0336599</v>
      </c>
      <c r="F25" s="1">
        <f>E25/86400 + DATE(1970,1,1)</f>
        <v>45647.361250389586</v>
      </c>
      <c r="G25">
        <v>0.434</v>
      </c>
      <c r="H25">
        <v>1734771848.3671999</v>
      </c>
      <c r="I25" s="1">
        <f t="shared" si="0"/>
        <v>45647.377874620368</v>
      </c>
      <c r="J25">
        <v>0.42970000000000003</v>
      </c>
      <c r="K25">
        <v>9.9078341013824206E-3</v>
      </c>
      <c r="M25">
        <v>0.11910999999999899</v>
      </c>
      <c r="N25">
        <v>0.116729469999999</v>
      </c>
      <c r="O25" s="5">
        <f>(N25-M25)/M25</f>
        <v>-1.9985979346822367E-2</v>
      </c>
      <c r="P25">
        <v>0.11910999999999999</v>
      </c>
      <c r="Q25">
        <v>-2.3805300000000001E-3</v>
      </c>
      <c r="R25">
        <v>0</v>
      </c>
      <c r="S25">
        <v>1</v>
      </c>
      <c r="T25">
        <v>11.541821290855401</v>
      </c>
      <c r="U25">
        <v>5.7748265156999397</v>
      </c>
      <c r="V25">
        <v>10.75</v>
      </c>
    </row>
    <row r="26" spans="1:22" x14ac:dyDescent="0.3">
      <c r="A26" t="s">
        <v>0</v>
      </c>
      <c r="B26" t="s">
        <v>1</v>
      </c>
      <c r="C26" t="s">
        <v>8</v>
      </c>
      <c r="D26">
        <v>28.1</v>
      </c>
      <c r="E26">
        <v>1734772808.6845601</v>
      </c>
      <c r="F26" s="1">
        <f>E26/86400 + DATE(1970,1,1)</f>
        <v>45647.38898940463</v>
      </c>
      <c r="G26">
        <v>0.43070000000000003</v>
      </c>
      <c r="H26">
        <v>1734777259.6816101</v>
      </c>
      <c r="I26" s="1">
        <f t="shared" si="0"/>
        <v>45647.440505574195</v>
      </c>
      <c r="J26">
        <v>0.43159999999999998</v>
      </c>
      <c r="K26">
        <v>-9.5948062210348094E-3</v>
      </c>
      <c r="M26">
        <v>-0.11612277340713099</v>
      </c>
      <c r="N26">
        <v>-0.11370664999999899</v>
      </c>
      <c r="O26" s="5">
        <f>(N26-M26)/M26</f>
        <v>-2.0806628503962591E-2</v>
      </c>
      <c r="P26">
        <v>-9.554E-2</v>
      </c>
      <c r="Q26">
        <v>-1.8166649999999999E-2</v>
      </c>
      <c r="R26">
        <v>0</v>
      </c>
      <c r="S26">
        <v>2</v>
      </c>
      <c r="T26">
        <v>11.472603625482799</v>
      </c>
      <c r="U26">
        <v>5.7056088503273799</v>
      </c>
      <c r="V26">
        <v>10.53</v>
      </c>
    </row>
    <row r="27" spans="1:22" x14ac:dyDescent="0.3">
      <c r="A27" t="s">
        <v>0</v>
      </c>
      <c r="B27" t="s">
        <v>4</v>
      </c>
      <c r="C27" t="s">
        <v>8</v>
      </c>
      <c r="D27">
        <v>28</v>
      </c>
      <c r="E27">
        <v>1734778811.2992101</v>
      </c>
      <c r="F27" s="1">
        <f>E27/86400 + DATE(1970,1,1)</f>
        <v>45647.458464111231</v>
      </c>
      <c r="G27">
        <v>0.4249</v>
      </c>
      <c r="H27">
        <v>1734783975.5601001</v>
      </c>
      <c r="I27" s="1">
        <f t="shared" si="0"/>
        <v>45647.518235649302</v>
      </c>
      <c r="J27">
        <v>0.42299999999999999</v>
      </c>
      <c r="K27">
        <v>-7.1469989430110103E-3</v>
      </c>
      <c r="M27">
        <v>-8.5029275824790598E-2</v>
      </c>
      <c r="N27">
        <v>-8.501918E-2</v>
      </c>
      <c r="O27" s="5">
        <f>(N27-M27)/M27</f>
        <v>-1.1873351492963188E-4</v>
      </c>
      <c r="P27">
        <v>-6.7199999999999996E-2</v>
      </c>
      <c r="Q27">
        <v>-1.781918E-2</v>
      </c>
      <c r="R27">
        <v>0</v>
      </c>
      <c r="S27">
        <v>3</v>
      </c>
      <c r="T27">
        <v>11.1134222313833</v>
      </c>
      <c r="U27">
        <v>5.3464274562279197</v>
      </c>
      <c r="V27">
        <v>10.42</v>
      </c>
    </row>
    <row r="28" spans="1:22" x14ac:dyDescent="0.3">
      <c r="A28" t="s">
        <v>0</v>
      </c>
      <c r="B28" t="s">
        <v>4</v>
      </c>
      <c r="C28" t="s">
        <v>2</v>
      </c>
      <c r="D28">
        <v>29</v>
      </c>
      <c r="E28">
        <v>1734786611.4128799</v>
      </c>
      <c r="F28" s="1">
        <f>E28/86400 + DATE(1970,1,1)</f>
        <v>45647.548743204628</v>
      </c>
      <c r="G28">
        <v>0.41360000000000002</v>
      </c>
      <c r="H28">
        <v>1734787013.39434</v>
      </c>
      <c r="I28" s="1">
        <f t="shared" si="0"/>
        <v>45647.553395767827</v>
      </c>
      <c r="J28">
        <v>0.40949999999999998</v>
      </c>
      <c r="K28">
        <v>9.9129593810445994E-3</v>
      </c>
      <c r="M28">
        <v>0.118900000000001</v>
      </c>
      <c r="N28">
        <v>0.1165249</v>
      </c>
      <c r="O28" s="5">
        <f>(N28-M28)/M28</f>
        <v>-1.9975609756105839E-2</v>
      </c>
      <c r="P28">
        <v>0.11890000000000001</v>
      </c>
      <c r="Q28">
        <v>-2.3751000000000002E-3</v>
      </c>
      <c r="R28">
        <v>0</v>
      </c>
      <c r="S28">
        <v>1</v>
      </c>
      <c r="T28">
        <v>11.2323222313833</v>
      </c>
      <c r="U28">
        <v>5.4653274562279197</v>
      </c>
      <c r="V28">
        <v>10.53</v>
      </c>
    </row>
    <row r="29" spans="1:22" x14ac:dyDescent="0.3">
      <c r="A29" s="6" t="s">
        <v>0</v>
      </c>
      <c r="B29" s="6" t="s">
        <v>4</v>
      </c>
      <c r="C29" s="6" t="s">
        <v>6</v>
      </c>
      <c r="D29" s="6">
        <v>29.3</v>
      </c>
      <c r="E29" s="6">
        <v>1734796822.8375199</v>
      </c>
      <c r="F29" s="7">
        <f>E29/86400 + DATE(1970,1,1)</f>
        <v>45647.666930989813</v>
      </c>
      <c r="G29" s="6">
        <v>0.40529999999999999</v>
      </c>
      <c r="H29" s="6">
        <v>1734798969.53229</v>
      </c>
      <c r="I29" s="1">
        <f t="shared" si="0"/>
        <v>45647.691776994092</v>
      </c>
      <c r="J29" s="6">
        <v>0.40570000000000001</v>
      </c>
      <c r="K29" s="6">
        <v>-3.16466435941462E-2</v>
      </c>
      <c r="L29" s="6"/>
      <c r="M29" s="6">
        <v>-0.37581307020712901</v>
      </c>
      <c r="N29" s="6">
        <v>-0.42459433999999902</v>
      </c>
      <c r="O29" s="8">
        <f>(N29-M29)/M29</f>
        <v>0.12980195118276291</v>
      </c>
      <c r="P29" s="6">
        <v>-0.38289999000000002</v>
      </c>
      <c r="Q29" s="6">
        <v>-4.1694349999999901E-2</v>
      </c>
      <c r="R29" s="6">
        <v>0</v>
      </c>
      <c r="S29" s="6">
        <v>5</v>
      </c>
      <c r="T29" s="6">
        <v>11.3355231611762</v>
      </c>
      <c r="U29" s="6">
        <v>5.5685283860207901</v>
      </c>
      <c r="V29" s="6">
        <v>9.86</v>
      </c>
    </row>
    <row r="30" spans="1:22" x14ac:dyDescent="0.3">
      <c r="A30" t="s">
        <v>0</v>
      </c>
      <c r="B30" t="s">
        <v>1</v>
      </c>
      <c r="C30" t="s">
        <v>2</v>
      </c>
      <c r="D30">
        <v>29.7</v>
      </c>
      <c r="E30">
        <v>1734802815.34782</v>
      </c>
      <c r="F30" s="1">
        <f>E30/86400 + DATE(1970,1,1)</f>
        <v>45647.736288747918</v>
      </c>
      <c r="G30">
        <v>0.40460000000000002</v>
      </c>
      <c r="H30">
        <v>1734803789.5645399</v>
      </c>
      <c r="I30" s="1">
        <f t="shared" si="0"/>
        <v>45647.747564404403</v>
      </c>
      <c r="J30">
        <v>0.40860000000000002</v>
      </c>
      <c r="K30">
        <v>9.8863074641621397E-3</v>
      </c>
      <c r="M30">
        <v>0.1188</v>
      </c>
      <c r="N30">
        <v>0.11637292</v>
      </c>
      <c r="O30" s="5">
        <f>(N30-M30)/M30</f>
        <v>-2.0429966329966312E-2</v>
      </c>
      <c r="P30">
        <v>0.1188</v>
      </c>
      <c r="Q30">
        <v>-2.4270799999999999E-3</v>
      </c>
      <c r="R30">
        <v>0</v>
      </c>
      <c r="S30">
        <v>1</v>
      </c>
      <c r="T30">
        <v>10.1255278634807</v>
      </c>
      <c r="U30">
        <v>4.3585330883253199</v>
      </c>
      <c r="V30">
        <v>9.1</v>
      </c>
    </row>
    <row r="31" spans="1:22" x14ac:dyDescent="0.3">
      <c r="A31" t="s">
        <v>0</v>
      </c>
      <c r="B31" t="s">
        <v>4</v>
      </c>
      <c r="C31" t="s">
        <v>2</v>
      </c>
      <c r="D31">
        <v>30.2</v>
      </c>
      <c r="E31">
        <v>1734807013.1526799</v>
      </c>
      <c r="F31" s="1">
        <f>E31/86400 + DATE(1970,1,1)</f>
        <v>45647.784874452314</v>
      </c>
      <c r="G31">
        <v>0.39779999999999999</v>
      </c>
      <c r="H31">
        <v>1734808170.19943</v>
      </c>
      <c r="I31" s="1">
        <f t="shared" si="0"/>
        <v>45647.798266197104</v>
      </c>
      <c r="J31">
        <v>0.39379999999999998</v>
      </c>
      <c r="K31">
        <v>1.00553041729512E-2</v>
      </c>
      <c r="M31">
        <v>0.1208</v>
      </c>
      <c r="N31">
        <v>0.11842145</v>
      </c>
      <c r="O31" s="5">
        <f>(N31-M31)/M31</f>
        <v>-1.9689983443708668E-2</v>
      </c>
      <c r="P31">
        <v>0.1208</v>
      </c>
      <c r="Q31">
        <v>-2.3785500000000001E-3</v>
      </c>
      <c r="R31">
        <v>0</v>
      </c>
      <c r="S31">
        <v>1</v>
      </c>
      <c r="T31">
        <v>9.9856120670383106</v>
      </c>
      <c r="U31">
        <v>4.2186172918828504</v>
      </c>
      <c r="V31">
        <v>8.76</v>
      </c>
    </row>
    <row r="32" spans="1:22" x14ac:dyDescent="0.3">
      <c r="A32" s="6" t="s">
        <v>0</v>
      </c>
      <c r="B32" s="6" t="s">
        <v>1</v>
      </c>
      <c r="C32" s="6" t="s">
        <v>6</v>
      </c>
      <c r="D32" s="6">
        <v>30.4</v>
      </c>
      <c r="E32" s="6">
        <v>1734808828.20822</v>
      </c>
      <c r="F32" s="7">
        <f>E32/86400 + DATE(1970,1,1)</f>
        <v>45647.805882039582</v>
      </c>
      <c r="G32" s="6">
        <v>0.39800000000000002</v>
      </c>
      <c r="H32" s="6">
        <v>1734811120.86128</v>
      </c>
      <c r="I32" s="1">
        <f t="shared" si="0"/>
        <v>45647.832417375925</v>
      </c>
      <c r="J32" s="6">
        <v>0.39760000000000001</v>
      </c>
      <c r="K32" s="6">
        <v>-3.1457499857030301E-2</v>
      </c>
      <c r="L32" s="6"/>
      <c r="M32" s="6">
        <v>-0.38061058227018102</v>
      </c>
      <c r="N32" s="6">
        <v>-0.42525647999999999</v>
      </c>
      <c r="O32" s="8">
        <f>(N32-M32)/M32</f>
        <v>0.11730072627914098</v>
      </c>
      <c r="P32" s="6">
        <v>-0.38303999999999999</v>
      </c>
      <c r="Q32" s="6">
        <v>-4.2216480000000001E-2</v>
      </c>
      <c r="R32" s="6">
        <v>0</v>
      </c>
      <c r="S32" s="6">
        <v>5</v>
      </c>
      <c r="T32" s="6">
        <v>9.5470048871400301</v>
      </c>
      <c r="U32" s="6">
        <v>3.7800101119845699</v>
      </c>
      <c r="V32" s="6">
        <v>8.19</v>
      </c>
    </row>
    <row r="33" spans="1:22" x14ac:dyDescent="0.3">
      <c r="A33" t="s">
        <v>0</v>
      </c>
      <c r="B33" t="s">
        <v>4</v>
      </c>
      <c r="C33" t="s">
        <v>8</v>
      </c>
      <c r="D33">
        <v>29.9</v>
      </c>
      <c r="E33">
        <v>1734811832.6166699</v>
      </c>
      <c r="F33" s="1">
        <f>E33/86400 + DATE(1970,1,1)</f>
        <v>45647.84065528553</v>
      </c>
      <c r="G33">
        <v>0.39779999999999999</v>
      </c>
      <c r="H33">
        <v>1734819446.1507101</v>
      </c>
      <c r="I33" s="1">
        <f t="shared" si="0"/>
        <v>45647.928774892483</v>
      </c>
      <c r="J33">
        <v>0.39350000000000002</v>
      </c>
      <c r="K33">
        <v>-7.4574960690976396E-4</v>
      </c>
      <c r="M33">
        <v>-8.8701098894982504E-3</v>
      </c>
      <c r="N33">
        <v>-8.8070400000000004E-3</v>
      </c>
      <c r="O33" s="5">
        <f>(N33-M33)/M33</f>
        <v>-7.1103842324345386E-3</v>
      </c>
      <c r="P33">
        <v>8.9699999999999901E-3</v>
      </c>
      <c r="Q33">
        <v>-1.7777040000000001E-2</v>
      </c>
      <c r="R33">
        <v>0</v>
      </c>
      <c r="S33">
        <v>2</v>
      </c>
      <c r="T33">
        <v>10.0075045522787</v>
      </c>
      <c r="U33">
        <v>4.2405097771233198</v>
      </c>
      <c r="V33">
        <v>8.3000000000000007</v>
      </c>
    </row>
    <row r="34" spans="1:22" x14ac:dyDescent="0.3">
      <c r="A34" s="6" t="s">
        <v>0</v>
      </c>
      <c r="B34" s="6" t="s">
        <v>4</v>
      </c>
      <c r="C34" s="6" t="s">
        <v>6</v>
      </c>
      <c r="D34" s="6">
        <v>30.3</v>
      </c>
      <c r="E34" s="6">
        <v>1734820832.21632</v>
      </c>
      <c r="F34" s="7">
        <f>E34/86400 + DATE(1970,1,1)</f>
        <v>45647.944817318523</v>
      </c>
      <c r="G34" s="6">
        <v>0.39200000000000002</v>
      </c>
      <c r="H34" s="6">
        <v>1734824022.1315601</v>
      </c>
      <c r="I34" s="1">
        <f t="shared" si="0"/>
        <v>45647.981737633796</v>
      </c>
      <c r="J34" s="6">
        <v>0.39229999999999998</v>
      </c>
      <c r="K34" s="6">
        <v>-3.1514710500306499E-2</v>
      </c>
      <c r="L34" s="6"/>
      <c r="M34" s="6">
        <v>-0.37431912543844098</v>
      </c>
      <c r="N34" s="6">
        <v>-0.41773596999999901</v>
      </c>
      <c r="O34" s="8">
        <f>(N34-M34)/M34</f>
        <v>0.11598884911558759</v>
      </c>
      <c r="P34" s="6">
        <v>-0.37603998999999999</v>
      </c>
      <c r="Q34" s="6">
        <v>-4.1695980000000001E-2</v>
      </c>
      <c r="R34" s="6">
        <v>0</v>
      </c>
      <c r="S34" s="6">
        <v>6</v>
      </c>
      <c r="T34" s="6">
        <v>8.9188192132678203</v>
      </c>
      <c r="U34" s="6">
        <v>3.1518244381123601</v>
      </c>
      <c r="V34" s="6">
        <v>7</v>
      </c>
    </row>
    <row r="35" spans="1:22" x14ac:dyDescent="0.3">
      <c r="A35" s="2" t="s">
        <v>0</v>
      </c>
      <c r="B35" s="2" t="s">
        <v>1</v>
      </c>
      <c r="C35" s="2" t="s">
        <v>8</v>
      </c>
      <c r="D35" s="2">
        <v>30.5</v>
      </c>
      <c r="E35" s="2">
        <v>1734824709.6115201</v>
      </c>
      <c r="F35" s="3">
        <f>E35/86400 + DATE(1970,1,1)</f>
        <v>45647.98969457778</v>
      </c>
      <c r="G35" s="2">
        <v>0.39709640000000002</v>
      </c>
      <c r="H35" s="2">
        <v>1734828820.8055699</v>
      </c>
      <c r="I35" s="1">
        <f t="shared" si="0"/>
        <v>45648.037277842246</v>
      </c>
      <c r="J35" s="2">
        <v>0.40200000000000002</v>
      </c>
      <c r="K35" s="2">
        <v>5.7309121248616003E-4</v>
      </c>
      <c r="L35" s="2"/>
      <c r="M35" s="2">
        <v>6.9409599491716198E-3</v>
      </c>
      <c r="N35" s="2">
        <v>8.2191599999999806E-3</v>
      </c>
      <c r="O35" s="4">
        <f>(N35-M35)/M35</f>
        <v>0.18415320938149335</v>
      </c>
      <c r="P35" s="2">
        <v>2.767E-2</v>
      </c>
      <c r="Q35" s="2">
        <v>-1.8241939999999901E-2</v>
      </c>
      <c r="R35" s="2">
        <v>-1.2088999999999999E-3</v>
      </c>
      <c r="S35" s="2">
        <v>3</v>
      </c>
      <c r="T35" s="2">
        <v>8.4847554703022698</v>
      </c>
      <c r="U35" s="2">
        <v>2.7177606951467999</v>
      </c>
      <c r="V35" s="2">
        <v>6.67</v>
      </c>
    </row>
    <row r="36" spans="1:22" x14ac:dyDescent="0.3">
      <c r="A36" t="s">
        <v>0</v>
      </c>
      <c r="B36" t="s">
        <v>4</v>
      </c>
      <c r="C36" t="s">
        <v>8</v>
      </c>
      <c r="D36">
        <v>30</v>
      </c>
      <c r="E36">
        <v>1734829214.7613101</v>
      </c>
      <c r="F36" s="1">
        <f>E36/86400 + DATE(1970,1,1)</f>
        <v>45648.041837515164</v>
      </c>
      <c r="G36">
        <v>0.3997</v>
      </c>
      <c r="H36">
        <v>1734833370.59956</v>
      </c>
      <c r="I36" s="1">
        <f t="shared" si="0"/>
        <v>45648.089937494908</v>
      </c>
      <c r="J36">
        <v>0.40150130000000001</v>
      </c>
      <c r="K36">
        <v>-2.7560371054458702E-2</v>
      </c>
      <c r="M36">
        <v>-0.33047640931401501</v>
      </c>
      <c r="N36">
        <v>-0.33317052000000003</v>
      </c>
      <c r="O36" s="5">
        <f>(N36-M36)/M36</f>
        <v>8.1522027293182801E-3</v>
      </c>
      <c r="P36">
        <v>-0.30303999999999998</v>
      </c>
      <c r="Q36">
        <v>-3.01305199999999E-2</v>
      </c>
      <c r="R36">
        <v>0</v>
      </c>
      <c r="S36">
        <v>4</v>
      </c>
      <c r="T36">
        <v>7.4463903056291798</v>
      </c>
      <c r="U36">
        <v>1.67939553047372</v>
      </c>
      <c r="V36">
        <v>5.99</v>
      </c>
    </row>
    <row r="37" spans="1:22" x14ac:dyDescent="0.3">
      <c r="A37" t="s">
        <v>0</v>
      </c>
      <c r="B37" t="s">
        <v>4</v>
      </c>
      <c r="C37" t="s">
        <v>10</v>
      </c>
      <c r="D37">
        <v>29.9</v>
      </c>
      <c r="E37">
        <v>1734838511.08074</v>
      </c>
      <c r="F37" s="1">
        <f>E37/86400 + DATE(1970,1,1)</f>
        <v>45648.149433804865</v>
      </c>
      <c r="G37">
        <v>0.39689999999999998</v>
      </c>
      <c r="H37">
        <v>1734844056.25278</v>
      </c>
      <c r="I37" s="1">
        <f t="shared" si="0"/>
        <v>45648.213614036809</v>
      </c>
      <c r="J37">
        <v>0.3886</v>
      </c>
      <c r="K37">
        <v>9.8876296283728193E-3</v>
      </c>
      <c r="M37">
        <v>0.117339565965085</v>
      </c>
      <c r="N37">
        <v>0.11138887</v>
      </c>
      <c r="O37" s="5">
        <f>(N37-M37)/M37</f>
        <v>-5.071346494374851E-2</v>
      </c>
      <c r="P37">
        <v>0.12558</v>
      </c>
      <c r="Q37">
        <v>-1.419113E-2</v>
      </c>
      <c r="R37">
        <v>0</v>
      </c>
      <c r="S37">
        <v>2</v>
      </c>
      <c r="T37">
        <v>7.9700713271741996</v>
      </c>
      <c r="U37">
        <v>2.2030765520187399</v>
      </c>
      <c r="V37">
        <v>6.18</v>
      </c>
    </row>
    <row r="38" spans="1:22" x14ac:dyDescent="0.3">
      <c r="A38" s="2" t="s">
        <v>0</v>
      </c>
      <c r="B38" s="2" t="s">
        <v>1</v>
      </c>
      <c r="C38" s="2" t="s">
        <v>8</v>
      </c>
      <c r="D38" s="2">
        <v>31</v>
      </c>
      <c r="E38" s="2">
        <v>1734844214.2530501</v>
      </c>
      <c r="F38" s="3">
        <f>E38/86400 + DATE(1970,1,1)</f>
        <v>45648.215442743633</v>
      </c>
      <c r="G38" s="2">
        <v>0.39179999999999998</v>
      </c>
      <c r="H38" s="2">
        <v>1734848280.5220599</v>
      </c>
      <c r="I38" s="1">
        <f t="shared" si="0"/>
        <v>45648.26250604236</v>
      </c>
      <c r="J38" s="2">
        <v>0.39700000000000002</v>
      </c>
      <c r="K38" s="2">
        <v>1.09689059034963E-3</v>
      </c>
      <c r="L38" s="2"/>
      <c r="M38" s="2">
        <v>1.33226137322686E-2</v>
      </c>
      <c r="N38" s="2">
        <v>1.5800700000000001E-2</v>
      </c>
      <c r="O38" s="4">
        <f>(N38-M38)/M38</f>
        <v>0.18600601334926095</v>
      </c>
      <c r="P38" s="2">
        <v>3.4099999999999998E-2</v>
      </c>
      <c r="Q38" s="2">
        <v>-1.8299300000000001E-2</v>
      </c>
      <c r="R38" s="2">
        <v>0</v>
      </c>
      <c r="S38" s="2">
        <v>2</v>
      </c>
      <c r="T38" s="2">
        <v>8.0311691810586794</v>
      </c>
      <c r="U38" s="2">
        <v>2.2641744059032201</v>
      </c>
      <c r="V38" s="2">
        <v>6.48</v>
      </c>
    </row>
    <row r="39" spans="1:22" x14ac:dyDescent="0.3">
      <c r="A39" t="s">
        <v>0</v>
      </c>
      <c r="B39" t="s">
        <v>1</v>
      </c>
      <c r="C39" t="s">
        <v>8</v>
      </c>
      <c r="D39">
        <v>30.1</v>
      </c>
      <c r="E39">
        <v>1734848713.0582199</v>
      </c>
      <c r="F39" s="1">
        <f>E39/86400 + DATE(1970,1,1)</f>
        <v>45648.267512247912</v>
      </c>
      <c r="G39">
        <v>0.39939999999999998</v>
      </c>
      <c r="H39">
        <v>1734856743.08393</v>
      </c>
      <c r="I39" s="1">
        <f t="shared" si="0"/>
        <v>45648.360452360299</v>
      </c>
      <c r="J39">
        <v>0.39779999999999999</v>
      </c>
      <c r="K39">
        <v>-2.67954091584361E-2</v>
      </c>
      <c r="M39">
        <v>-0.322132801178169</v>
      </c>
      <c r="N39">
        <v>-0.32068503999999998</v>
      </c>
      <c r="O39" s="5">
        <f>(N39-M39)/M39</f>
        <v>-4.4942991613209924E-3</v>
      </c>
      <c r="P39">
        <v>-0.29197000000000001</v>
      </c>
      <c r="Q39">
        <v>-2.9907360000000001E-2</v>
      </c>
      <c r="R39">
        <v>1.19232E-3</v>
      </c>
      <c r="S39">
        <v>3</v>
      </c>
      <c r="T39">
        <v>7.5269230626456096</v>
      </c>
      <c r="U39">
        <v>1.7599282874901501</v>
      </c>
      <c r="V39">
        <v>5.94</v>
      </c>
    </row>
    <row r="40" spans="1:22" x14ac:dyDescent="0.3">
      <c r="A40" t="s">
        <v>0</v>
      </c>
      <c r="B40" t="s">
        <v>4</v>
      </c>
      <c r="C40" t="s">
        <v>8</v>
      </c>
      <c r="D40">
        <v>29.6</v>
      </c>
      <c r="E40">
        <v>1734862831.3037601</v>
      </c>
      <c r="F40" s="1">
        <f>E40/86400 + DATE(1970,1,1)</f>
        <v>45648.43091786759</v>
      </c>
      <c r="G40">
        <v>0.40089999999999998</v>
      </c>
      <c r="H40">
        <v>1734869817.0850599</v>
      </c>
      <c r="I40" s="1">
        <f t="shared" si="0"/>
        <v>45648.511771817823</v>
      </c>
      <c r="J40">
        <v>0.40310000000000001</v>
      </c>
      <c r="K40">
        <v>-1.6966635246048401E-2</v>
      </c>
      <c r="M40">
        <v>-0.20133695247616801</v>
      </c>
      <c r="N40">
        <v>-0.20135252000000001</v>
      </c>
      <c r="O40" s="5">
        <f>(N40-M40)/M40</f>
        <v>7.7320748330301519E-5</v>
      </c>
      <c r="P40">
        <v>-0.18351999999999999</v>
      </c>
      <c r="Q40">
        <v>-1.78325199999999E-2</v>
      </c>
      <c r="R40">
        <v>0</v>
      </c>
      <c r="S40">
        <v>2</v>
      </c>
      <c r="T40">
        <v>7.1671146997301598</v>
      </c>
      <c r="U40">
        <v>1.4001199245747</v>
      </c>
      <c r="V40">
        <v>5.21</v>
      </c>
    </row>
    <row r="41" spans="1:22" x14ac:dyDescent="0.3">
      <c r="A41" t="s">
        <v>0</v>
      </c>
      <c r="B41" t="s">
        <v>1</v>
      </c>
      <c r="C41" t="s">
        <v>8</v>
      </c>
      <c r="D41">
        <v>29.5</v>
      </c>
      <c r="E41">
        <v>1734870934.1672201</v>
      </c>
      <c r="F41" s="1">
        <f>E41/86400 + DATE(1970,1,1)</f>
        <v>45648.52470100949</v>
      </c>
      <c r="G41">
        <v>0.40720000000000001</v>
      </c>
      <c r="H41">
        <v>1734876410.1493599</v>
      </c>
      <c r="I41" s="1">
        <f t="shared" si="0"/>
        <v>45648.588080432412</v>
      </c>
      <c r="J41">
        <v>0.4047</v>
      </c>
      <c r="K41">
        <v>-2.92756672695451E-2</v>
      </c>
      <c r="M41">
        <v>-0.35167102550868301</v>
      </c>
      <c r="N41">
        <v>-0.35142022000000001</v>
      </c>
      <c r="O41" s="5">
        <f>(N41-M41)/M41</f>
        <v>-7.131821801930414E-4</v>
      </c>
      <c r="P41">
        <v>-0.32155</v>
      </c>
      <c r="Q41">
        <v>-2.9870219999999999E-2</v>
      </c>
      <c r="R41">
        <v>0</v>
      </c>
      <c r="S41">
        <v>3</v>
      </c>
      <c r="T41">
        <v>6.3023768582040898</v>
      </c>
      <c r="U41">
        <v>0.53538208304863699</v>
      </c>
      <c r="V41">
        <v>4.1399999999999997</v>
      </c>
    </row>
    <row r="42" spans="1:22" s="6" customFormat="1" x14ac:dyDescent="0.3">
      <c r="A42" t="s">
        <v>0</v>
      </c>
      <c r="B42" t="s">
        <v>1</v>
      </c>
      <c r="C42" t="s">
        <v>2</v>
      </c>
      <c r="D42">
        <v>30.3</v>
      </c>
      <c r="E42">
        <v>1734880512.29164</v>
      </c>
      <c r="F42" s="1">
        <f>E42/86400 + DATE(1970,1,1)</f>
        <v>45648.635558931019</v>
      </c>
      <c r="G42">
        <v>0.3957</v>
      </c>
      <c r="H42">
        <v>1734884339.8092899</v>
      </c>
      <c r="I42" s="1">
        <f t="shared" si="0"/>
        <v>45648.679858903823</v>
      </c>
      <c r="J42">
        <v>0.3997</v>
      </c>
      <c r="K42">
        <v>1.01086681829669E-2</v>
      </c>
      <c r="L42"/>
      <c r="M42">
        <v>0.1212</v>
      </c>
      <c r="N42">
        <v>0.11757354</v>
      </c>
      <c r="O42" s="5">
        <f>(N42-M42)/M42</f>
        <v>-2.9921287128712854E-2</v>
      </c>
      <c r="P42">
        <v>0.1212</v>
      </c>
      <c r="Q42">
        <v>-2.4221799999999999E-3</v>
      </c>
      <c r="R42">
        <v>-1.2042800000000001E-3</v>
      </c>
      <c r="S42">
        <v>1</v>
      </c>
      <c r="T42">
        <v>6.7530571555741297</v>
      </c>
      <c r="U42">
        <v>0.98606238041867</v>
      </c>
      <c r="V42">
        <v>4.84</v>
      </c>
    </row>
    <row r="43" spans="1:22" s="6" customFormat="1" x14ac:dyDescent="0.3">
      <c r="A43" t="s">
        <v>7</v>
      </c>
      <c r="B43" t="s">
        <v>1</v>
      </c>
      <c r="C43" t="s">
        <v>2</v>
      </c>
      <c r="D43">
        <v>27</v>
      </c>
      <c r="E43">
        <v>1734753914.63394</v>
      </c>
      <c r="F43" s="1">
        <f>E43/86400 + DATE(1970,1,1)</f>
        <v>45647.170308263194</v>
      </c>
      <c r="G43">
        <v>0.44274000000000002</v>
      </c>
      <c r="H43">
        <v>1734757666.32019</v>
      </c>
      <c r="I43" s="1">
        <f t="shared" si="0"/>
        <v>45647.213730557749</v>
      </c>
      <c r="J43">
        <v>0.44717000000000001</v>
      </c>
      <c r="K43">
        <v>1.0005872521118399E-2</v>
      </c>
      <c r="L43"/>
      <c r="M43">
        <v>0.11960999999999899</v>
      </c>
      <c r="N43">
        <v>0.11719528999999999</v>
      </c>
      <c r="O43" s="5">
        <f>(N43-M43)/M43</f>
        <v>-2.0188194966967825E-2</v>
      </c>
      <c r="P43">
        <v>0.11960999999999999</v>
      </c>
      <c r="Q43">
        <v>-2.41471E-3</v>
      </c>
      <c r="R43">
        <v>0</v>
      </c>
      <c r="S43">
        <v>1</v>
      </c>
      <c r="T43">
        <v>10.6045475233921</v>
      </c>
      <c r="U43">
        <v>4.83755274823669</v>
      </c>
      <c r="V43">
        <v>10.029999999999999</v>
      </c>
    </row>
    <row r="44" spans="1:22" x14ac:dyDescent="0.3">
      <c r="A44" t="s">
        <v>7</v>
      </c>
      <c r="B44" t="s">
        <v>1</v>
      </c>
      <c r="C44" t="s">
        <v>10</v>
      </c>
      <c r="D44">
        <v>26</v>
      </c>
      <c r="E44">
        <v>1734761431.6893799</v>
      </c>
      <c r="F44" s="1">
        <f>E44/86400 + DATE(1970,1,1)</f>
        <v>45647.257311219677</v>
      </c>
      <c r="G44">
        <v>0.45825460000000001</v>
      </c>
      <c r="H44">
        <v>1734765027.8510001</v>
      </c>
      <c r="I44" s="1">
        <f t="shared" si="0"/>
        <v>45647.298933460654</v>
      </c>
      <c r="J44">
        <v>0.47293000000000002</v>
      </c>
      <c r="K44">
        <v>1.0071542080813199E-2</v>
      </c>
      <c r="M44">
        <v>0.119998592678281</v>
      </c>
      <c r="N44">
        <v>0.11398891999999999</v>
      </c>
      <c r="O44" s="5">
        <f>(N44-M44)/M44</f>
        <v>-5.0081192988596791E-2</v>
      </c>
      <c r="P44">
        <v>0.14016000000000001</v>
      </c>
      <c r="Q44">
        <v>-2.6171079999999999E-2</v>
      </c>
      <c r="R44">
        <v>0</v>
      </c>
      <c r="S44">
        <v>3</v>
      </c>
      <c r="T44">
        <v>11.2081061160704</v>
      </c>
      <c r="U44">
        <v>5.4411113409149703</v>
      </c>
      <c r="V44">
        <v>10.59</v>
      </c>
    </row>
    <row r="45" spans="1:22" s="6" customFormat="1" x14ac:dyDescent="0.3">
      <c r="A45" t="s">
        <v>7</v>
      </c>
      <c r="B45" t="s">
        <v>4</v>
      </c>
      <c r="C45" t="s">
        <v>2</v>
      </c>
      <c r="D45">
        <v>26</v>
      </c>
      <c r="E45">
        <v>1734768612.5826099</v>
      </c>
      <c r="F45" s="1">
        <f>E45/86400 + DATE(1970,1,1)</f>
        <v>45647.340423409842</v>
      </c>
      <c r="G45">
        <v>0.46893000000000001</v>
      </c>
      <c r="H45">
        <v>1734770292.2867401</v>
      </c>
      <c r="I45" s="1">
        <f t="shared" si="0"/>
        <v>45647.359864429862</v>
      </c>
      <c r="J45">
        <v>0.46423999999999999</v>
      </c>
      <c r="K45">
        <v>1.0001492760113501E-2</v>
      </c>
      <c r="L45"/>
      <c r="M45">
        <v>0.12194000000000001</v>
      </c>
      <c r="N45">
        <v>0.11952596</v>
      </c>
      <c r="O45" s="5">
        <f>(N45-M45)/M45</f>
        <v>-1.9796949319337429E-2</v>
      </c>
      <c r="P45">
        <v>0.12194000000000001</v>
      </c>
      <c r="Q45">
        <v>-2.4140400000000001E-3</v>
      </c>
      <c r="R45">
        <v>0</v>
      </c>
      <c r="S45">
        <v>1</v>
      </c>
      <c r="T45">
        <v>11.4506061160704</v>
      </c>
      <c r="U45">
        <v>5.68361134091497</v>
      </c>
      <c r="V45">
        <v>10.53</v>
      </c>
    </row>
    <row r="46" spans="1:22" x14ac:dyDescent="0.3">
      <c r="A46" t="s">
        <v>7</v>
      </c>
      <c r="B46" t="s">
        <v>1</v>
      </c>
      <c r="C46" t="s">
        <v>8</v>
      </c>
      <c r="D46">
        <v>26</v>
      </c>
      <c r="E46">
        <v>1734772828.8387799</v>
      </c>
      <c r="F46" s="1">
        <f>E46/86400 + DATE(1970,1,1)</f>
        <v>45647.38922267106</v>
      </c>
      <c r="G46">
        <v>0.46237</v>
      </c>
      <c r="H46">
        <v>1734779220.8842399</v>
      </c>
      <c r="I46" s="1">
        <f t="shared" si="0"/>
        <v>45647.463204678701</v>
      </c>
      <c r="J46">
        <v>0.46271000000000001</v>
      </c>
      <c r="K46">
        <v>-1.1067848036544699E-2</v>
      </c>
      <c r="M46">
        <v>-0.13305346331308701</v>
      </c>
      <c r="N46">
        <v>-0.13061686</v>
      </c>
      <c r="O46" s="5">
        <f>(N46-M46)/M46</f>
        <v>-1.8312964220656616E-2</v>
      </c>
      <c r="P46">
        <v>-0.11258000999999999</v>
      </c>
      <c r="Q46">
        <v>-1.803685E-2</v>
      </c>
      <c r="R46">
        <v>0</v>
      </c>
      <c r="S46">
        <v>2</v>
      </c>
      <c r="T46">
        <v>11.206630049593</v>
      </c>
      <c r="U46">
        <v>5.4396352744376202</v>
      </c>
      <c r="V46">
        <v>10.52</v>
      </c>
    </row>
    <row r="47" spans="1:22" x14ac:dyDescent="0.3">
      <c r="A47" t="s">
        <v>7</v>
      </c>
      <c r="B47" t="s">
        <v>1</v>
      </c>
      <c r="C47" t="s">
        <v>8</v>
      </c>
      <c r="D47">
        <v>27</v>
      </c>
      <c r="E47">
        <v>1734795629.2481899</v>
      </c>
      <c r="F47" s="1">
        <f>E47/86400 + DATE(1970,1,1)</f>
        <v>45647.65311629849</v>
      </c>
      <c r="G47">
        <v>0.45175670000000001</v>
      </c>
      <c r="H47">
        <v>1734800720.11274</v>
      </c>
      <c r="I47" s="1">
        <f t="shared" si="0"/>
        <v>45647.712038341895</v>
      </c>
      <c r="J47">
        <v>0.45516000000000001</v>
      </c>
      <c r="K47">
        <v>-1.51269910188546E-2</v>
      </c>
      <c r="M47">
        <v>-0.184510427677399</v>
      </c>
      <c r="N47">
        <v>-0.18203345000000001</v>
      </c>
      <c r="O47" s="5">
        <f>(N47-M47)/M47</f>
        <v>-1.3424594526059942E-2</v>
      </c>
      <c r="P47">
        <v>-0.15345</v>
      </c>
      <c r="Q47">
        <v>-3.0419189999999999E-2</v>
      </c>
      <c r="R47">
        <v>1.83574E-3</v>
      </c>
      <c r="S47">
        <v>4</v>
      </c>
      <c r="T47">
        <v>10.7918080588266</v>
      </c>
      <c r="U47">
        <v>5.0248132836712296</v>
      </c>
      <c r="V47">
        <v>9.9600000000000009</v>
      </c>
    </row>
    <row r="48" spans="1:22" x14ac:dyDescent="0.3">
      <c r="A48" s="6" t="s">
        <v>7</v>
      </c>
      <c r="B48" s="6" t="s">
        <v>1</v>
      </c>
      <c r="C48" s="6" t="s">
        <v>6</v>
      </c>
      <c r="D48" s="6">
        <v>27</v>
      </c>
      <c r="E48" s="6">
        <v>1734801031.1262</v>
      </c>
      <c r="F48" s="7">
        <f>E48/86400 + DATE(1970,1,1)</f>
        <v>45647.715638034722</v>
      </c>
      <c r="G48" s="6">
        <v>0.45279390000000003</v>
      </c>
      <c r="H48" s="6">
        <v>1734802187.94135</v>
      </c>
      <c r="I48" s="1">
        <f t="shared" si="0"/>
        <v>45647.729027098962</v>
      </c>
      <c r="J48" s="6">
        <v>0.45256000000000002</v>
      </c>
      <c r="K48" s="6">
        <v>-3.1382610471320099E-2</v>
      </c>
      <c r="L48" s="6"/>
      <c r="M48" s="6">
        <v>-0.38366607386222601</v>
      </c>
      <c r="N48" s="6">
        <v>-0.41711767</v>
      </c>
      <c r="O48" s="8">
        <f>(N48-M48)/M48</f>
        <v>8.7189351409232008E-2</v>
      </c>
      <c r="P48" s="6">
        <v>-0.37445000000000001</v>
      </c>
      <c r="Q48" s="6">
        <v>-4.2667669999999998E-2</v>
      </c>
      <c r="R48" s="6">
        <v>0</v>
      </c>
      <c r="S48" s="6">
        <v>5</v>
      </c>
      <c r="T48" s="6">
        <v>10.4081419849644</v>
      </c>
      <c r="U48" s="6">
        <v>4.6411472098089996</v>
      </c>
      <c r="V48" s="6">
        <v>9.27</v>
      </c>
    </row>
    <row r="49" spans="1:22" x14ac:dyDescent="0.3">
      <c r="A49" t="s">
        <v>7</v>
      </c>
      <c r="B49" t="s">
        <v>4</v>
      </c>
      <c r="C49" t="s">
        <v>10</v>
      </c>
      <c r="D49">
        <v>26</v>
      </c>
      <c r="E49">
        <v>1734803433.04548</v>
      </c>
      <c r="F49" s="1">
        <f>E49/86400 + DATE(1970,1,1)</f>
        <v>45647.743438026388</v>
      </c>
      <c r="G49">
        <v>0.44980130000000002</v>
      </c>
      <c r="H49">
        <v>1734808144.6406801</v>
      </c>
      <c r="I49" s="1">
        <f t="shared" si="0"/>
        <v>45647.79797037824</v>
      </c>
      <c r="J49">
        <v>0.44033</v>
      </c>
      <c r="K49">
        <v>1.00273428552236E-2</v>
      </c>
      <c r="M49">
        <v>0.117268108147457</v>
      </c>
      <c r="N49">
        <v>0.11140546</v>
      </c>
      <c r="O49" s="5">
        <f>(N49-M49)/M49</f>
        <v>-4.9993542490555959E-2</v>
      </c>
      <c r="P49">
        <v>0.12539</v>
      </c>
      <c r="Q49">
        <v>-1.398454E-2</v>
      </c>
      <c r="R49">
        <v>0</v>
      </c>
      <c r="S49">
        <v>2</v>
      </c>
      <c r="T49">
        <v>9.8648120670383097</v>
      </c>
      <c r="U49">
        <v>4.0978172918828504</v>
      </c>
      <c r="V49">
        <v>8.76</v>
      </c>
    </row>
    <row r="50" spans="1:22" x14ac:dyDescent="0.3">
      <c r="A50" s="6" t="s">
        <v>7</v>
      </c>
      <c r="B50" s="6" t="s">
        <v>1</v>
      </c>
      <c r="C50" s="6" t="s">
        <v>6</v>
      </c>
      <c r="D50" s="6">
        <v>27</v>
      </c>
      <c r="E50" s="6">
        <v>1734808868.04601</v>
      </c>
      <c r="F50" s="7">
        <f>E50/86400 + DATE(1970,1,1)</f>
        <v>45647.806343125121</v>
      </c>
      <c r="G50" s="6">
        <v>0.44436189999999998</v>
      </c>
      <c r="H50" s="6">
        <v>1734811259.40171</v>
      </c>
      <c r="I50" s="1">
        <f t="shared" si="0"/>
        <v>45647.83402085313</v>
      </c>
      <c r="J50" s="6">
        <v>0.44222</v>
      </c>
      <c r="K50" s="6">
        <v>-2.7264378991115501E-2</v>
      </c>
      <c r="L50" s="6"/>
      <c r="M50" s="6">
        <v>-0.32711178377192801</v>
      </c>
      <c r="N50" s="6">
        <v>-0.46341734000000001</v>
      </c>
      <c r="O50" s="8">
        <f>(N50-M50)/M50</f>
        <v>0.41669411800556916</v>
      </c>
      <c r="P50" s="6">
        <v>-0.42156998999999901</v>
      </c>
      <c r="Q50" s="6">
        <v>-4.1847349999999998E-2</v>
      </c>
      <c r="R50" s="6">
        <v>0</v>
      </c>
      <c r="S50" s="6">
        <v>4</v>
      </c>
      <c r="T50" s="6">
        <v>9.3403341033681002</v>
      </c>
      <c r="U50" s="6">
        <v>3.57333932821264</v>
      </c>
      <c r="V50" s="6">
        <v>8.23</v>
      </c>
    </row>
    <row r="51" spans="1:22" x14ac:dyDescent="0.3">
      <c r="A51" t="s">
        <v>7</v>
      </c>
      <c r="B51" t="s">
        <v>4</v>
      </c>
      <c r="C51" t="s">
        <v>2</v>
      </c>
      <c r="D51">
        <v>27</v>
      </c>
      <c r="E51">
        <v>1734814518.4314699</v>
      </c>
      <c r="F51" s="1">
        <f>E51/86400 + DATE(1970,1,1)</f>
        <v>45647.871741104973</v>
      </c>
      <c r="G51">
        <v>0.4501</v>
      </c>
      <c r="H51">
        <v>1734815811.50366</v>
      </c>
      <c r="I51" s="1">
        <f t="shared" si="0"/>
        <v>45647.886707218291</v>
      </c>
      <c r="J51">
        <v>0.4456</v>
      </c>
      <c r="K51">
        <v>9.9977782714952296E-3</v>
      </c>
      <c r="M51">
        <v>0.1215</v>
      </c>
      <c r="N51">
        <v>0.11909375999999899</v>
      </c>
      <c r="O51" s="5">
        <f>(N51-M51)/M51</f>
        <v>-1.9804444444452701E-2</v>
      </c>
      <c r="P51">
        <v>0.1215</v>
      </c>
      <c r="Q51">
        <v>-2.40624E-3</v>
      </c>
      <c r="R51">
        <v>0</v>
      </c>
      <c r="S51">
        <v>1</v>
      </c>
      <c r="T51">
        <v>9.7017921033680992</v>
      </c>
      <c r="U51">
        <v>3.9347973282126398</v>
      </c>
      <c r="V51">
        <v>8.0299999999999994</v>
      </c>
    </row>
    <row r="52" spans="1:22" x14ac:dyDescent="0.3">
      <c r="A52" t="s">
        <v>7</v>
      </c>
      <c r="B52" t="s">
        <v>4</v>
      </c>
      <c r="C52" t="s">
        <v>2</v>
      </c>
      <c r="D52">
        <v>27</v>
      </c>
      <c r="E52">
        <v>1734816618.1638601</v>
      </c>
      <c r="F52" s="1">
        <f>E52/86400 + DATE(1970,1,1)</f>
        <v>45647.896043563196</v>
      </c>
      <c r="G52">
        <v>0.44359999999999999</v>
      </c>
      <c r="H52">
        <v>1734817156.3799901</v>
      </c>
      <c r="I52" s="1">
        <f t="shared" si="0"/>
        <v>45647.902272916552</v>
      </c>
      <c r="J52">
        <v>0.43915999999999999</v>
      </c>
      <c r="K52">
        <v>1.00090171325518E-2</v>
      </c>
      <c r="M52">
        <v>0.11988</v>
      </c>
      <c r="N52">
        <v>0.11750853999999999</v>
      </c>
      <c r="O52" s="5">
        <f>(N52-M52)/M52</f>
        <v>-1.9781948615281996E-2</v>
      </c>
      <c r="P52">
        <v>0.11988</v>
      </c>
      <c r="Q52">
        <v>-2.3714600000000001E-3</v>
      </c>
      <c r="R52">
        <v>0</v>
      </c>
      <c r="S52">
        <v>1</v>
      </c>
      <c r="T52">
        <v>9.8980746621682805</v>
      </c>
      <c r="U52">
        <v>4.1310798870128203</v>
      </c>
      <c r="V52">
        <v>8.35</v>
      </c>
    </row>
    <row r="53" spans="1:22" x14ac:dyDescent="0.3">
      <c r="A53" t="s">
        <v>7</v>
      </c>
      <c r="B53" t="s">
        <v>1</v>
      </c>
      <c r="C53" t="s">
        <v>6</v>
      </c>
      <c r="D53">
        <v>27</v>
      </c>
      <c r="E53">
        <v>1734817217.1461401</v>
      </c>
      <c r="F53" s="1">
        <f>E53/86400 + DATE(1970,1,1)</f>
        <v>45647.902976228477</v>
      </c>
      <c r="G53">
        <v>0.44318000000000002</v>
      </c>
      <c r="H53">
        <v>1734819978.10921</v>
      </c>
      <c r="I53" s="1">
        <f t="shared" si="0"/>
        <v>45647.93493181956</v>
      </c>
      <c r="J53">
        <v>0.443</v>
      </c>
      <c r="K53">
        <v>-3.17584102331551E-2</v>
      </c>
      <c r="M53">
        <v>-0.38001669067250099</v>
      </c>
      <c r="N53">
        <v>-0.40998221999999901</v>
      </c>
      <c r="O53" s="5">
        <f>(N53-M53)/M53</f>
        <v>7.8853192670219743E-2</v>
      </c>
      <c r="P53">
        <v>-0.36821999999999999</v>
      </c>
      <c r="Q53">
        <v>-4.1762220000000003E-2</v>
      </c>
      <c r="R53">
        <v>0</v>
      </c>
      <c r="S53">
        <v>5</v>
      </c>
      <c r="T53">
        <v>9.6465301901103597</v>
      </c>
      <c r="U53">
        <v>3.8795354149549</v>
      </c>
      <c r="V53">
        <v>8.32</v>
      </c>
    </row>
    <row r="54" spans="1:22" x14ac:dyDescent="0.3">
      <c r="A54" t="s">
        <v>7</v>
      </c>
      <c r="B54" t="s">
        <v>1</v>
      </c>
      <c r="C54" t="s">
        <v>8</v>
      </c>
      <c r="D54">
        <v>27</v>
      </c>
      <c r="E54">
        <v>1734820851.86869</v>
      </c>
      <c r="F54" s="1">
        <f>E54/86400 + DATE(1970,1,1)</f>
        <v>45647.945044776505</v>
      </c>
      <c r="G54">
        <v>0.44235999999999998</v>
      </c>
      <c r="H54">
        <v>1734825930.86516</v>
      </c>
      <c r="I54" s="1">
        <f t="shared" si="0"/>
        <v>45648.00382945787</v>
      </c>
      <c r="J54">
        <v>0.44557999999999998</v>
      </c>
      <c r="K54">
        <v>-1.51122758878628E-2</v>
      </c>
      <c r="M54">
        <v>-0.18049679176738501</v>
      </c>
      <c r="N54">
        <v>-0.17877171</v>
      </c>
      <c r="O54" s="5">
        <f>(N54-M54)/M54</f>
        <v>-9.557409583258427E-3</v>
      </c>
      <c r="P54">
        <v>-0.15065999999999999</v>
      </c>
      <c r="Q54">
        <v>-2.978451E-2</v>
      </c>
      <c r="R54">
        <v>1.6727999999999999E-3</v>
      </c>
      <c r="S54">
        <v>3</v>
      </c>
      <c r="T54">
        <v>8.7383224215004294</v>
      </c>
      <c r="U54">
        <v>2.97132764634497</v>
      </c>
      <c r="V54">
        <v>6.93</v>
      </c>
    </row>
    <row r="55" spans="1:22" x14ac:dyDescent="0.3">
      <c r="A55" t="s">
        <v>7</v>
      </c>
      <c r="B55" t="s">
        <v>4</v>
      </c>
      <c r="C55" t="s">
        <v>8</v>
      </c>
      <c r="D55">
        <v>27</v>
      </c>
      <c r="E55">
        <v>1734829234.42752</v>
      </c>
      <c r="F55" s="1">
        <f>E55/86400 + DATE(1970,1,1)</f>
        <v>45648.042065133333</v>
      </c>
      <c r="G55">
        <v>0.45140000000000002</v>
      </c>
      <c r="H55">
        <v>1734833245.0926299</v>
      </c>
      <c r="I55" s="1">
        <f t="shared" si="0"/>
        <v>45648.0884848684</v>
      </c>
      <c r="J55">
        <v>0.44657000000000002</v>
      </c>
      <c r="K55">
        <v>-1.20901010468118E-2</v>
      </c>
      <c r="M55">
        <v>-0.147351733538333</v>
      </c>
      <c r="N55">
        <v>-0.14986848999999999</v>
      </c>
      <c r="O55" s="5">
        <f>(N55-M55)/M55</f>
        <v>1.7079924349938283E-2</v>
      </c>
      <c r="P55">
        <v>-0.11934</v>
      </c>
      <c r="Q55">
        <v>-3.0528489999999998E-2</v>
      </c>
      <c r="R55">
        <v>0</v>
      </c>
      <c r="S55">
        <v>3</v>
      </c>
      <c r="T55">
        <v>7.7768667149431998</v>
      </c>
      <c r="U55">
        <v>2.00987193978774</v>
      </c>
      <c r="V55">
        <v>6.05</v>
      </c>
    </row>
    <row r="56" spans="1:22" x14ac:dyDescent="0.3">
      <c r="A56" t="s">
        <v>7</v>
      </c>
      <c r="B56" t="s">
        <v>4</v>
      </c>
      <c r="C56" t="s">
        <v>8</v>
      </c>
      <c r="D56">
        <v>27</v>
      </c>
      <c r="E56">
        <v>1734838530.8213301</v>
      </c>
      <c r="F56" s="1">
        <f>E56/86400 + DATE(1970,1,1)</f>
        <v>45648.149662283911</v>
      </c>
      <c r="G56">
        <v>0.43824999999999997</v>
      </c>
      <c r="H56">
        <v>1734842946.5131099</v>
      </c>
      <c r="I56" s="1">
        <f t="shared" si="0"/>
        <v>45648.200769827657</v>
      </c>
      <c r="J56">
        <v>0.43569999999999998</v>
      </c>
      <c r="K56">
        <v>-5.9451526027978997E-3</v>
      </c>
      <c r="M56">
        <v>-7.0347504460756799E-2</v>
      </c>
      <c r="N56">
        <v>-7.0364700000000002E-2</v>
      </c>
      <c r="O56" s="5">
        <f>(N56-M56)/M56</f>
        <v>2.4443708948902043E-4</v>
      </c>
      <c r="P56">
        <v>-5.2650000000000002E-2</v>
      </c>
      <c r="Q56">
        <v>-1.77147E-2</v>
      </c>
      <c r="R56">
        <v>0</v>
      </c>
      <c r="S56">
        <v>2</v>
      </c>
      <c r="T56">
        <v>7.73406280116843</v>
      </c>
      <c r="U56">
        <v>1.96706802601297</v>
      </c>
      <c r="V56">
        <v>5.69</v>
      </c>
    </row>
    <row r="57" spans="1:22" s="6" customFormat="1" x14ac:dyDescent="0.3">
      <c r="A57" t="s">
        <v>7</v>
      </c>
      <c r="B57" t="s">
        <v>1</v>
      </c>
      <c r="C57" t="s">
        <v>2</v>
      </c>
      <c r="D57">
        <v>28</v>
      </c>
      <c r="E57">
        <v>1734845416.23734</v>
      </c>
      <c r="F57" s="1">
        <f>E57/86400 + DATE(1970,1,1)</f>
        <v>45648.229354598843</v>
      </c>
      <c r="G57">
        <v>0.43081999999999998</v>
      </c>
      <c r="H57">
        <v>1734848737.4272001</v>
      </c>
      <c r="I57" s="1">
        <f t="shared" si="0"/>
        <v>45648.267794296298</v>
      </c>
      <c r="J57">
        <v>0.43513000000000002</v>
      </c>
      <c r="K57">
        <v>1.00041780790122E-2</v>
      </c>
      <c r="L57"/>
      <c r="M57">
        <v>0.12068000000000099</v>
      </c>
      <c r="N57">
        <v>0.11824327999999899</v>
      </c>
      <c r="O57" s="5">
        <f>(N57-M57)/M57</f>
        <v>-2.0191581040785396E-2</v>
      </c>
      <c r="P57">
        <v>0.12068</v>
      </c>
      <c r="Q57">
        <v>-2.4367199999999999E-3</v>
      </c>
      <c r="R57">
        <v>0</v>
      </c>
      <c r="S57">
        <v>1</v>
      </c>
      <c r="T57">
        <v>8.2719811810586794</v>
      </c>
      <c r="U57">
        <v>2.5049864059032201</v>
      </c>
      <c r="V57">
        <v>6.71</v>
      </c>
    </row>
    <row r="58" spans="1:22" x14ac:dyDescent="0.3">
      <c r="A58" t="s">
        <v>7</v>
      </c>
      <c r="B58" t="s">
        <v>1</v>
      </c>
      <c r="C58" t="s">
        <v>8</v>
      </c>
      <c r="D58">
        <v>27</v>
      </c>
      <c r="E58">
        <v>1734850211.6575999</v>
      </c>
      <c r="F58" s="1">
        <f>E58/86400 + DATE(1970,1,1)</f>
        <v>45648.284857148145</v>
      </c>
      <c r="G58">
        <v>0.43933</v>
      </c>
      <c r="H58">
        <v>1734856664.16535</v>
      </c>
      <c r="I58" s="1">
        <f t="shared" si="0"/>
        <v>45648.359538950812</v>
      </c>
      <c r="J58">
        <v>0.44413999999999998</v>
      </c>
      <c r="K58">
        <v>-1.1628397113322499E-2</v>
      </c>
      <c r="M58">
        <v>-0.13793500000249201</v>
      </c>
      <c r="N58">
        <v>-0.14094274999999901</v>
      </c>
      <c r="O58" s="5">
        <f>(N58-M58)/M58</f>
        <v>2.1805560571665335E-2</v>
      </c>
      <c r="P58">
        <v>-0.10827000000000001</v>
      </c>
      <c r="Q58">
        <v>-2.96009099999999E-2</v>
      </c>
      <c r="R58">
        <v>-3.0718400000000002E-3</v>
      </c>
      <c r="S58">
        <v>3</v>
      </c>
      <c r="T58">
        <v>7.8490558638237804</v>
      </c>
      <c r="U58">
        <v>2.0820610886683202</v>
      </c>
      <c r="V58">
        <v>5.99</v>
      </c>
    </row>
    <row r="59" spans="1:22" x14ac:dyDescent="0.3">
      <c r="A59" s="6" t="s">
        <v>7</v>
      </c>
      <c r="B59" s="6" t="s">
        <v>4</v>
      </c>
      <c r="C59" s="6" t="s">
        <v>6</v>
      </c>
      <c r="D59" s="6">
        <v>27</v>
      </c>
      <c r="E59" s="6">
        <v>1734864323.9621601</v>
      </c>
      <c r="F59" s="7">
        <f>E59/86400 + DATE(1970,1,1)</f>
        <v>45648.448194006487</v>
      </c>
      <c r="G59" s="6">
        <v>0.44588</v>
      </c>
      <c r="H59" s="6">
        <v>1734869400.93325</v>
      </c>
      <c r="I59" s="1">
        <f t="shared" si="0"/>
        <v>45648.506955245946</v>
      </c>
      <c r="J59" s="6">
        <v>0.44631999999999999</v>
      </c>
      <c r="K59" s="6">
        <v>-3.1473687750673003E-2</v>
      </c>
      <c r="L59" s="6"/>
      <c r="M59" s="6">
        <v>-0.37890417314529201</v>
      </c>
      <c r="N59" s="6">
        <v>-0.42832239</v>
      </c>
      <c r="O59" s="8">
        <f>(N59-M59)/M59</f>
        <v>0.13042405008233682</v>
      </c>
      <c r="P59" s="6">
        <v>-0.38605</v>
      </c>
      <c r="Q59" s="6">
        <v>-4.227239E-2</v>
      </c>
      <c r="R59" s="6">
        <v>0</v>
      </c>
      <c r="S59" s="6">
        <v>6</v>
      </c>
      <c r="T59" s="6">
        <v>7.24855165220632</v>
      </c>
      <c r="U59" s="6">
        <v>1.48155687705086</v>
      </c>
      <c r="V59" s="6">
        <v>5.55</v>
      </c>
    </row>
    <row r="60" spans="1:22" s="2" customFormat="1" x14ac:dyDescent="0.3">
      <c r="A60" t="s">
        <v>7</v>
      </c>
      <c r="B60" t="s">
        <v>1</v>
      </c>
      <c r="C60" t="s">
        <v>2</v>
      </c>
      <c r="D60">
        <v>27</v>
      </c>
      <c r="E60">
        <v>1734870953.81213</v>
      </c>
      <c r="F60" s="1">
        <f>E60/86400 + DATE(1970,1,1)</f>
        <v>45648.524928381135</v>
      </c>
      <c r="G60">
        <v>0.45047999999999999</v>
      </c>
      <c r="H60">
        <v>1734873808.10832</v>
      </c>
      <c r="I60" s="1">
        <f t="shared" si="0"/>
        <v>45648.55796421667</v>
      </c>
      <c r="J60">
        <v>0.45498</v>
      </c>
      <c r="K60">
        <v>9.9893446989877503E-3</v>
      </c>
      <c r="L60"/>
      <c r="M60">
        <v>0.1215</v>
      </c>
      <c r="N60">
        <v>0.11904310999999999</v>
      </c>
      <c r="O60" s="5">
        <f>(N60-M60)/M60</f>
        <v>-2.0221316872428011E-2</v>
      </c>
      <c r="P60">
        <v>0.1215</v>
      </c>
      <c r="Q60">
        <v>-2.4568900000000002E-3</v>
      </c>
      <c r="R60">
        <v>0</v>
      </c>
      <c r="S60">
        <v>1</v>
      </c>
      <c r="T60">
        <v>6.6540478837127797</v>
      </c>
      <c r="U60">
        <v>0.887053108557321</v>
      </c>
      <c r="V60">
        <v>4.3600000000000003</v>
      </c>
    </row>
    <row r="61" spans="1:22" x14ac:dyDescent="0.3">
      <c r="A61" t="s">
        <v>7</v>
      </c>
      <c r="B61" t="s">
        <v>4</v>
      </c>
      <c r="C61" t="s">
        <v>10</v>
      </c>
      <c r="D61">
        <v>26</v>
      </c>
      <c r="E61">
        <v>1734873931.99155</v>
      </c>
      <c r="F61" s="1">
        <f>E61/86400 + DATE(1970,1,1)</f>
        <v>45648.559398050347</v>
      </c>
      <c r="G61">
        <v>0.45273000000000002</v>
      </c>
      <c r="H61">
        <v>1734877588.2740901</v>
      </c>
      <c r="I61" s="1">
        <f t="shared" si="0"/>
        <v>45648.601716135301</v>
      </c>
      <c r="J61">
        <v>0.44312000000000001</v>
      </c>
      <c r="K61">
        <v>1.00005502501581E-2</v>
      </c>
      <c r="M61">
        <v>0.117716276983606</v>
      </c>
      <c r="N61">
        <v>0.1117648</v>
      </c>
      <c r="O61" s="5">
        <f>(N61-M61)/M61</f>
        <v>-5.0557808453582376E-2</v>
      </c>
      <c r="P61">
        <v>0.12584000000000001</v>
      </c>
      <c r="Q61">
        <v>-1.40752E-2</v>
      </c>
      <c r="R61">
        <v>0</v>
      </c>
      <c r="S61">
        <v>2</v>
      </c>
      <c r="T61">
        <v>6.2748375344307297</v>
      </c>
      <c r="U61">
        <v>0.507842759275277</v>
      </c>
      <c r="V61">
        <v>4.3499999999999996</v>
      </c>
    </row>
    <row r="62" spans="1:22" s="2" customFormat="1" x14ac:dyDescent="0.3">
      <c r="A62" t="s">
        <v>7</v>
      </c>
      <c r="B62" t="s">
        <v>1</v>
      </c>
      <c r="C62" t="s">
        <v>2</v>
      </c>
      <c r="D62">
        <v>27</v>
      </c>
      <c r="E62">
        <v>1734882943.5794499</v>
      </c>
      <c r="F62" s="1">
        <f>E62/86400 + DATE(1970,1,1)</f>
        <v>45648.66369883623</v>
      </c>
      <c r="G62">
        <v>0.44374000000000002</v>
      </c>
      <c r="H62">
        <v>1734884370.1533799</v>
      </c>
      <c r="I62" s="1">
        <f t="shared" si="0"/>
        <v>45648.680210108563</v>
      </c>
      <c r="J62">
        <v>0.44818000000000002</v>
      </c>
      <c r="K62">
        <v>1.0005859286969799E-2</v>
      </c>
      <c r="L62"/>
      <c r="M62">
        <v>0.11988</v>
      </c>
      <c r="N62">
        <v>0.11773043</v>
      </c>
      <c r="O62" s="5">
        <f>(N62-M62)/M62</f>
        <v>-1.7931014347681042E-2</v>
      </c>
      <c r="P62">
        <v>0.11988</v>
      </c>
      <c r="Q62">
        <v>-2.4201700000000001E-3</v>
      </c>
      <c r="R62">
        <v>2.7060000000000002E-4</v>
      </c>
      <c r="S62">
        <v>1</v>
      </c>
      <c r="T62">
        <v>6.8729371555741299</v>
      </c>
      <c r="U62">
        <v>1.1059423804186701</v>
      </c>
      <c r="V62">
        <v>4.71</v>
      </c>
    </row>
    <row r="63" spans="1:22" x14ac:dyDescent="0.3">
      <c r="A63" s="2" t="s">
        <v>5</v>
      </c>
      <c r="B63" s="2" t="s">
        <v>1</v>
      </c>
      <c r="C63" s="2" t="s">
        <v>2</v>
      </c>
      <c r="D63" s="2">
        <v>5.5</v>
      </c>
      <c r="E63" s="2">
        <v>1734754512.4297099</v>
      </c>
      <c r="F63" s="3">
        <f>E63/86400 + DATE(1970,1,1)</f>
        <v>45647.177227195716</v>
      </c>
      <c r="G63" s="2">
        <v>2.1901000000000002</v>
      </c>
      <c r="H63" s="2">
        <v>1734756756.9474299</v>
      </c>
      <c r="I63" s="1">
        <f t="shared" si="0"/>
        <v>45647.203205410071</v>
      </c>
      <c r="J63" s="2">
        <v>2.2120000000000002</v>
      </c>
      <c r="K63" s="2">
        <v>9.9995433998447698E-3</v>
      </c>
      <c r="L63" s="2"/>
      <c r="M63" s="2">
        <v>0.12045</v>
      </c>
      <c r="N63" s="2">
        <v>0.11801680000000001</v>
      </c>
      <c r="O63" s="5">
        <f>(N63-M63)/M63</f>
        <v>-2.0200913242009105E-2</v>
      </c>
      <c r="P63" s="2">
        <v>0.12045</v>
      </c>
      <c r="Q63" s="2">
        <v>-2.4331999999999999E-3</v>
      </c>
      <c r="R63" s="2">
        <v>0</v>
      </c>
      <c r="S63" s="2">
        <v>1</v>
      </c>
      <c r="T63" s="2">
        <v>10.5781440239959</v>
      </c>
      <c r="U63" s="2">
        <v>4.8111492488404597</v>
      </c>
      <c r="V63" s="2">
        <v>9.8800000000000008</v>
      </c>
    </row>
    <row r="64" spans="1:22" x14ac:dyDescent="0.3">
      <c r="A64" t="s">
        <v>5</v>
      </c>
      <c r="B64" t="s">
        <v>1</v>
      </c>
      <c r="C64" t="s">
        <v>2</v>
      </c>
      <c r="D64">
        <v>5.4</v>
      </c>
      <c r="E64">
        <v>1734757509.34465</v>
      </c>
      <c r="F64" s="1">
        <f>E64/86400 + DATE(1970,1,1)</f>
        <v>45647.211913711231</v>
      </c>
      <c r="G64">
        <v>2.2183999999999999</v>
      </c>
      <c r="H64">
        <v>1734757816.35677</v>
      </c>
      <c r="I64" s="1">
        <f t="shared" si="0"/>
        <v>45647.215467092246</v>
      </c>
      <c r="J64">
        <v>2.2406000000000001</v>
      </c>
      <c r="K64">
        <v>1.0007212405337199E-2</v>
      </c>
      <c r="M64">
        <v>0.119880000000001</v>
      </c>
      <c r="N64">
        <v>0.11746015999999999</v>
      </c>
      <c r="O64" s="5">
        <f>(N64-M64)/M64</f>
        <v>-2.0185518852193739E-2</v>
      </c>
      <c r="P64">
        <v>0.11988</v>
      </c>
      <c r="Q64">
        <v>-2.4198399999999999E-3</v>
      </c>
      <c r="R64">
        <v>0</v>
      </c>
      <c r="S64">
        <v>1</v>
      </c>
      <c r="T64">
        <v>10.7244275233921</v>
      </c>
      <c r="U64">
        <v>4.9574327482366902</v>
      </c>
      <c r="V64">
        <v>10.15</v>
      </c>
    </row>
    <row r="65" spans="1:22" x14ac:dyDescent="0.3">
      <c r="A65" t="s">
        <v>5</v>
      </c>
      <c r="B65" t="s">
        <v>1</v>
      </c>
      <c r="C65" t="s">
        <v>2</v>
      </c>
      <c r="D65">
        <v>5.2</v>
      </c>
      <c r="E65">
        <v>1734761412.00245</v>
      </c>
      <c r="F65" s="1">
        <f>E65/86400 + DATE(1970,1,1)</f>
        <v>45647.257083361692</v>
      </c>
      <c r="G65">
        <v>2.3203</v>
      </c>
      <c r="H65">
        <v>1734762568.29457</v>
      </c>
      <c r="I65" s="1">
        <f t="shared" si="0"/>
        <v>45647.270466372342</v>
      </c>
      <c r="J65">
        <v>2.3435000000000001</v>
      </c>
      <c r="K65">
        <v>9.9987070637418008E-3</v>
      </c>
      <c r="M65">
        <v>0.12064</v>
      </c>
      <c r="N65">
        <v>0.11820277</v>
      </c>
      <c r="O65" s="5">
        <f>(N65-M65)/M65</f>
        <v>-2.0202503315649857E-2</v>
      </c>
      <c r="P65">
        <v>0.12064</v>
      </c>
      <c r="Q65">
        <v>-2.4372299999999999E-3</v>
      </c>
      <c r="R65">
        <v>0</v>
      </c>
      <c r="S65">
        <v>1</v>
      </c>
      <c r="T65">
        <v>11.0881075233921</v>
      </c>
      <c r="U65">
        <v>5.3211127482366898</v>
      </c>
      <c r="V65">
        <v>10.35</v>
      </c>
    </row>
    <row r="66" spans="1:22" x14ac:dyDescent="0.3">
      <c r="A66" t="s">
        <v>5</v>
      </c>
      <c r="B66" t="s">
        <v>4</v>
      </c>
      <c r="C66" t="s">
        <v>8</v>
      </c>
      <c r="D66">
        <v>5.0999999999999996</v>
      </c>
      <c r="E66">
        <v>1734769520.46733</v>
      </c>
      <c r="F66" s="1">
        <f>E66/86400 + DATE(1970,1,1)</f>
        <v>45647.350931334833</v>
      </c>
      <c r="G66">
        <v>2.3368000000000002</v>
      </c>
      <c r="H66">
        <v>1734774075.4022601</v>
      </c>
      <c r="I66" s="1">
        <f t="shared" si="0"/>
        <v>45647.403650489126</v>
      </c>
      <c r="J66">
        <v>2.3005</v>
      </c>
      <c r="K66">
        <v>3.9357583048524004E-3</v>
      </c>
      <c r="M66">
        <v>4.6905108034573401E-2</v>
      </c>
      <c r="N66">
        <v>4.6986050000000001E-2</v>
      </c>
      <c r="O66" s="5">
        <f>(N66-M66)/M66</f>
        <v>1.7256535336607499E-3</v>
      </c>
      <c r="P66">
        <v>6.4769999999999994E-2</v>
      </c>
      <c r="Q66">
        <v>-1.778395E-2</v>
      </c>
      <c r="R66">
        <v>0</v>
      </c>
      <c r="S66">
        <v>2</v>
      </c>
      <c r="T66">
        <v>11.5887263988899</v>
      </c>
      <c r="U66">
        <v>5.82173162373451</v>
      </c>
      <c r="V66">
        <v>10.65</v>
      </c>
    </row>
    <row r="67" spans="1:22" x14ac:dyDescent="0.3">
      <c r="A67" t="s">
        <v>5</v>
      </c>
      <c r="B67" t="s">
        <v>4</v>
      </c>
      <c r="C67" t="s">
        <v>2</v>
      </c>
      <c r="D67">
        <v>5.3</v>
      </c>
      <c r="E67">
        <v>1734782419.4267001</v>
      </c>
      <c r="F67" s="1">
        <f>E67/86400 + DATE(1970,1,1)</f>
        <v>45647.500224846066</v>
      </c>
      <c r="G67">
        <v>2.2738</v>
      </c>
      <c r="H67">
        <v>1734782923.44174</v>
      </c>
      <c r="I67" s="1">
        <f t="shared" ref="I67:I100" si="1">H67/86400 + DATE(1970,1,1)</f>
        <v>45647.506058353472</v>
      </c>
      <c r="J67">
        <v>2.2511000000000001</v>
      </c>
      <c r="K67">
        <v>9.9832878881167802E-3</v>
      </c>
      <c r="M67">
        <v>0.120309999999999</v>
      </c>
      <c r="N67">
        <v>0.11792384</v>
      </c>
      <c r="O67" s="5">
        <f>(N67-M67)/M67</f>
        <v>-1.9833430305037144E-2</v>
      </c>
      <c r="P67">
        <v>0.12031</v>
      </c>
      <c r="Q67">
        <v>-2.38616E-3</v>
      </c>
      <c r="R67">
        <v>0</v>
      </c>
      <c r="S67">
        <v>1</v>
      </c>
      <c r="T67">
        <v>11.326940049593</v>
      </c>
      <c r="U67">
        <v>5.5599452744376201</v>
      </c>
      <c r="V67">
        <v>10.23</v>
      </c>
    </row>
    <row r="68" spans="1:22" x14ac:dyDescent="0.3">
      <c r="A68" t="s">
        <v>5</v>
      </c>
      <c r="B68" t="s">
        <v>1</v>
      </c>
      <c r="C68" t="s">
        <v>2</v>
      </c>
      <c r="D68">
        <v>5.6</v>
      </c>
      <c r="E68">
        <v>1734788711.5543699</v>
      </c>
      <c r="F68" s="1">
        <f>E68/86400 + DATE(1970,1,1)</f>
        <v>45647.573050397797</v>
      </c>
      <c r="G68">
        <v>2.1617000000000002</v>
      </c>
      <c r="H68">
        <v>1734788870.46257</v>
      </c>
      <c r="I68" s="1">
        <f t="shared" si="1"/>
        <v>45647.574889613083</v>
      </c>
      <c r="J68">
        <v>2.1833</v>
      </c>
      <c r="K68">
        <v>9.9921358190312396E-3</v>
      </c>
      <c r="M68">
        <v>0.120959999999999</v>
      </c>
      <c r="N68">
        <v>0.11851471</v>
      </c>
      <c r="O68" s="5">
        <f>(N68-M68)/M68</f>
        <v>-2.0215691137558067E-2</v>
      </c>
      <c r="P68">
        <v>0.12096</v>
      </c>
      <c r="Q68">
        <v>-2.4452900000000001E-3</v>
      </c>
      <c r="R68">
        <v>0</v>
      </c>
      <c r="S68">
        <v>1</v>
      </c>
      <c r="T68">
        <v>11.473033231383299</v>
      </c>
      <c r="U68">
        <v>5.7060384562279198</v>
      </c>
      <c r="V68">
        <v>10.76</v>
      </c>
    </row>
    <row r="69" spans="1:22" x14ac:dyDescent="0.3">
      <c r="A69" s="6" t="s">
        <v>5</v>
      </c>
      <c r="B69" s="6" t="s">
        <v>4</v>
      </c>
      <c r="C69" s="6" t="s">
        <v>8</v>
      </c>
      <c r="D69" s="6">
        <v>5.4</v>
      </c>
      <c r="E69" s="6">
        <v>1734795608.8389201</v>
      </c>
      <c r="F69" s="7">
        <f>E69/86400 + DATE(1970,1,1)</f>
        <v>45647.652880080095</v>
      </c>
      <c r="G69" s="6">
        <v>2.1836099999999998</v>
      </c>
      <c r="H69" s="6">
        <v>1734800506.9556301</v>
      </c>
      <c r="I69" s="1">
        <f t="shared" si="1"/>
        <v>45647.709571245723</v>
      </c>
      <c r="J69" s="6">
        <v>2.1545999999999998</v>
      </c>
      <c r="K69" s="6">
        <v>1.5761015008784001E-3</v>
      </c>
      <c r="L69" s="6"/>
      <c r="M69" s="6">
        <v>1.85845913909987E-2</v>
      </c>
      <c r="N69" s="6">
        <v>1.7527219999999899E-2</v>
      </c>
      <c r="O69" s="8">
        <f>(N69-M69)/M69</f>
        <v>-5.6895057241394618E-2</v>
      </c>
      <c r="P69" s="6">
        <v>3.6319999999999901E-2</v>
      </c>
      <c r="Q69" s="6">
        <v>-1.7608929999999998E-2</v>
      </c>
      <c r="R69" s="6">
        <v>-1.18385E-3</v>
      </c>
      <c r="S69" s="6">
        <v>3</v>
      </c>
      <c r="T69" s="6">
        <v>10.976318486504001</v>
      </c>
      <c r="U69" s="6">
        <v>5.2093237113486301</v>
      </c>
      <c r="V69" s="6">
        <v>9.8699999999999992</v>
      </c>
    </row>
    <row r="70" spans="1:22" x14ac:dyDescent="0.3">
      <c r="A70" t="s">
        <v>5</v>
      </c>
      <c r="B70" t="s">
        <v>1</v>
      </c>
      <c r="C70" t="s">
        <v>6</v>
      </c>
      <c r="D70">
        <v>5.6</v>
      </c>
      <c r="E70">
        <v>1734801011.4591601</v>
      </c>
      <c r="F70" s="1">
        <f>E70/86400 + DATE(1970,1,1)</f>
        <v>45647.715410406949</v>
      </c>
      <c r="G70">
        <v>2.157</v>
      </c>
      <c r="H70">
        <v>1734802847.4260199</v>
      </c>
      <c r="I70" s="1">
        <f t="shared" si="1"/>
        <v>45647.73666002338</v>
      </c>
      <c r="J70">
        <v>2.1602999999999999</v>
      </c>
      <c r="K70">
        <v>-3.3231846602728897E-2</v>
      </c>
      <c r="M70">
        <v>-0.401414121483683</v>
      </c>
      <c r="N70">
        <v>-0.38486687999999902</v>
      </c>
      <c r="O70" s="5">
        <f>(N70-M70)/M70</f>
        <v>-4.1222370111253293E-2</v>
      </c>
      <c r="P70">
        <v>-0.3427</v>
      </c>
      <c r="Q70">
        <v>-4.2166879999999997E-2</v>
      </c>
      <c r="R70">
        <v>0</v>
      </c>
      <c r="S70">
        <v>5</v>
      </c>
      <c r="T70">
        <v>10.0067278634807</v>
      </c>
      <c r="U70">
        <v>4.2397330883253197</v>
      </c>
      <c r="V70">
        <v>9.14</v>
      </c>
    </row>
    <row r="71" spans="1:22" x14ac:dyDescent="0.3">
      <c r="A71" t="s">
        <v>5</v>
      </c>
      <c r="B71" t="s">
        <v>4</v>
      </c>
      <c r="C71" t="s">
        <v>10</v>
      </c>
      <c r="D71">
        <v>5.6</v>
      </c>
      <c r="E71">
        <v>1734803412.88745</v>
      </c>
      <c r="F71" s="1">
        <f>E71/86400 + DATE(1970,1,1)</f>
        <v>45647.743204715851</v>
      </c>
      <c r="G71">
        <v>2.1400999999999999</v>
      </c>
      <c r="H71">
        <v>1734808222.2764001</v>
      </c>
      <c r="I71" s="1">
        <f t="shared" si="1"/>
        <v>45647.798868939819</v>
      </c>
      <c r="J71">
        <v>2.0949</v>
      </c>
      <c r="K71">
        <v>1.0007892775175799E-2</v>
      </c>
      <c r="M71">
        <v>0.11994019143766101</v>
      </c>
      <c r="N71">
        <v>0.11390916</v>
      </c>
      <c r="O71" s="5">
        <f>(N71-M71)/M71</f>
        <v>-5.0283656924089898E-2</v>
      </c>
      <c r="P71">
        <v>0.12823999999999999</v>
      </c>
      <c r="Q71">
        <v>-1.4330839999999999E-2</v>
      </c>
      <c r="R71">
        <v>0</v>
      </c>
      <c r="S71">
        <v>2</v>
      </c>
      <c r="T71">
        <v>10.1055522584759</v>
      </c>
      <c r="U71">
        <v>4.3385574833205096</v>
      </c>
      <c r="V71">
        <v>9.01</v>
      </c>
    </row>
    <row r="72" spans="1:22" x14ac:dyDescent="0.3">
      <c r="A72" t="s">
        <v>5</v>
      </c>
      <c r="B72" t="s">
        <v>4</v>
      </c>
      <c r="C72" t="s">
        <v>2</v>
      </c>
      <c r="D72">
        <v>5.7</v>
      </c>
      <c r="E72">
        <v>1734808808.53844</v>
      </c>
      <c r="F72" s="1">
        <f>E72/86400 + DATE(1970,1,1)</f>
        <v>45647.805654380092</v>
      </c>
      <c r="G72">
        <v>2.1089000000000002</v>
      </c>
      <c r="H72">
        <v>1734809726.5841701</v>
      </c>
      <c r="I72" s="1">
        <f t="shared" si="1"/>
        <v>45647.816279909377</v>
      </c>
      <c r="J72">
        <v>2.0878000000000001</v>
      </c>
      <c r="K72">
        <v>1.00052159893784E-2</v>
      </c>
      <c r="M72">
        <v>0.12027</v>
      </c>
      <c r="N72">
        <v>0.11788991</v>
      </c>
      <c r="O72" s="5">
        <f>(N72-M72)/M72</f>
        <v>-1.9789556830464797E-2</v>
      </c>
      <c r="P72">
        <v>0.12027</v>
      </c>
      <c r="Q72">
        <v>-2.3800900000000001E-3</v>
      </c>
      <c r="R72">
        <v>0</v>
      </c>
      <c r="S72">
        <v>1</v>
      </c>
      <c r="T72">
        <v>10.225822258475899</v>
      </c>
      <c r="U72">
        <v>4.4588274833205199</v>
      </c>
      <c r="V72">
        <v>8.57</v>
      </c>
    </row>
    <row r="73" spans="1:22" x14ac:dyDescent="0.3">
      <c r="A73" t="s">
        <v>5</v>
      </c>
      <c r="B73" t="s">
        <v>1</v>
      </c>
      <c r="C73" t="s">
        <v>2</v>
      </c>
      <c r="D73">
        <v>5.7</v>
      </c>
      <c r="E73">
        <v>1734810912.9660201</v>
      </c>
      <c r="F73" s="1">
        <f>E73/86400 + DATE(1970,1,1)</f>
        <v>45647.830011180791</v>
      </c>
      <c r="G73">
        <v>2.1114700000000002</v>
      </c>
      <c r="H73">
        <v>1734811232.1100099</v>
      </c>
      <c r="I73" s="1">
        <f t="shared" si="1"/>
        <v>45647.833704976962</v>
      </c>
      <c r="J73">
        <v>2.1326000000000001</v>
      </c>
      <c r="K73">
        <v>1.00072461365777E-2</v>
      </c>
      <c r="M73">
        <v>0.12044099999999899</v>
      </c>
      <c r="N73">
        <v>0.11801883000000001</v>
      </c>
      <c r="O73" s="5">
        <f>(N73-M73)/M73</f>
        <v>-2.0110842653241076E-2</v>
      </c>
      <c r="P73">
        <v>0.12044999000000001</v>
      </c>
      <c r="Q73">
        <v>-2.4311599999999999E-3</v>
      </c>
      <c r="R73">
        <v>0</v>
      </c>
      <c r="S73">
        <v>1</v>
      </c>
      <c r="T73">
        <v>9.6674458871400297</v>
      </c>
      <c r="U73">
        <v>3.90045111198457</v>
      </c>
      <c r="V73">
        <v>8.43</v>
      </c>
    </row>
    <row r="74" spans="1:22" x14ac:dyDescent="0.3">
      <c r="A74" t="s">
        <v>5</v>
      </c>
      <c r="B74" t="s">
        <v>1</v>
      </c>
      <c r="C74" t="s">
        <v>2</v>
      </c>
      <c r="D74">
        <v>5.6</v>
      </c>
      <c r="E74">
        <v>1734811811.6968601</v>
      </c>
      <c r="F74" s="1">
        <f>E74/86400 + DATE(1970,1,1)</f>
        <v>45647.840413158105</v>
      </c>
      <c r="G74">
        <v>2.1374</v>
      </c>
      <c r="H74">
        <v>1734813013.1359501</v>
      </c>
      <c r="I74" s="1">
        <f t="shared" si="1"/>
        <v>45647.854318703125</v>
      </c>
      <c r="J74">
        <v>2.1587999999999998</v>
      </c>
      <c r="K74">
        <v>1.00121643117806E-2</v>
      </c>
      <c r="M74">
        <v>0.119839999999999</v>
      </c>
      <c r="N74">
        <v>0.11742215</v>
      </c>
      <c r="O74" s="5">
        <f>(N74-M74)/M74</f>
        <v>-2.0175650867815587E-2</v>
      </c>
      <c r="P74">
        <v>0.11984</v>
      </c>
      <c r="Q74">
        <v>-2.41785E-3</v>
      </c>
      <c r="R74">
        <v>0</v>
      </c>
      <c r="S74">
        <v>1</v>
      </c>
      <c r="T74">
        <v>9.5802921033680999</v>
      </c>
      <c r="U74">
        <v>3.8132973282126401</v>
      </c>
      <c r="V74">
        <v>8.33</v>
      </c>
    </row>
    <row r="75" spans="1:22" s="2" customFormat="1" x14ac:dyDescent="0.3">
      <c r="A75" t="s">
        <v>5</v>
      </c>
      <c r="B75" t="s">
        <v>4</v>
      </c>
      <c r="C75" t="s">
        <v>8</v>
      </c>
      <c r="D75">
        <v>5.6</v>
      </c>
      <c r="E75">
        <v>1734813615.0776999</v>
      </c>
      <c r="F75" s="1">
        <f>E75/86400 + DATE(1970,1,1)</f>
        <v>45647.861285621526</v>
      </c>
      <c r="G75">
        <v>2.1362000000000001</v>
      </c>
      <c r="H75">
        <v>1734819462.46369</v>
      </c>
      <c r="I75" s="1">
        <f t="shared" si="1"/>
        <v>45647.92896370012</v>
      </c>
      <c r="J75">
        <v>2.1074099999999998</v>
      </c>
      <c r="K75">
        <v>1.5918059190618899E-3</v>
      </c>
      <c r="L75"/>
      <c r="M75">
        <v>1.9042328504080001E-2</v>
      </c>
      <c r="N75">
        <v>1.9066550000000002E-2</v>
      </c>
      <c r="O75" s="5">
        <f>(N75-M75)/M75</f>
        <v>1.2719818332517043E-3</v>
      </c>
      <c r="P75">
        <v>3.6929999999999998E-2</v>
      </c>
      <c r="Q75">
        <v>-1.7863449999999999E-2</v>
      </c>
      <c r="R75">
        <v>0</v>
      </c>
      <c r="S75">
        <v>3</v>
      </c>
      <c r="T75">
        <v>10.026546880782799</v>
      </c>
      <c r="U75">
        <v>4.2595521056274004</v>
      </c>
      <c r="V75">
        <v>8.4600000000000009</v>
      </c>
    </row>
    <row r="76" spans="1:22" x14ac:dyDescent="0.3">
      <c r="A76" t="s">
        <v>5</v>
      </c>
      <c r="B76" t="s">
        <v>1</v>
      </c>
      <c r="C76" t="s">
        <v>8</v>
      </c>
      <c r="D76">
        <v>5.6</v>
      </c>
      <c r="E76">
        <v>1734820812.55566</v>
      </c>
      <c r="F76" s="1">
        <f>E76/86400 + DATE(1970,1,1)</f>
        <v>45647.944589764578</v>
      </c>
      <c r="G76">
        <v>2.1351</v>
      </c>
      <c r="H76">
        <v>1734826049.4088299</v>
      </c>
      <c r="I76" s="1">
        <f t="shared" si="1"/>
        <v>45648.005201491091</v>
      </c>
      <c r="J76">
        <v>2.1372</v>
      </c>
      <c r="K76">
        <v>-2.17878646657012E-2</v>
      </c>
      <c r="M76">
        <v>-0.26050791114733601</v>
      </c>
      <c r="N76">
        <v>-0.26085651999999998</v>
      </c>
      <c r="O76" s="5">
        <f>(N76-M76)/M76</f>
        <v>1.3381891211234811E-3</v>
      </c>
      <c r="P76">
        <v>-0.23072000000000001</v>
      </c>
      <c r="Q76">
        <v>-2.9779679999999999E-2</v>
      </c>
      <c r="R76">
        <v>-3.5683999999999998E-4</v>
      </c>
      <c r="S76">
        <v>3</v>
      </c>
      <c r="T76">
        <v>8.47781451035309</v>
      </c>
      <c r="U76">
        <v>2.7108197351976302</v>
      </c>
      <c r="V76">
        <v>6.93</v>
      </c>
    </row>
    <row r="77" spans="1:22" x14ac:dyDescent="0.3">
      <c r="A77" t="s">
        <v>5</v>
      </c>
      <c r="B77" t="s">
        <v>1</v>
      </c>
      <c r="C77" t="s">
        <v>6</v>
      </c>
      <c r="D77">
        <v>5.6</v>
      </c>
      <c r="E77">
        <v>1734826510.19191</v>
      </c>
      <c r="F77" s="1">
        <f>E77/86400 + DATE(1970,1,1)</f>
        <v>45648.010534628585</v>
      </c>
      <c r="G77">
        <v>2.1541000000000001</v>
      </c>
      <c r="H77">
        <v>1734829611.3108201</v>
      </c>
      <c r="I77" s="1">
        <f t="shared" si="1"/>
        <v>45648.046427208566</v>
      </c>
      <c r="J77">
        <v>2.1537000000000002</v>
      </c>
      <c r="K77">
        <v>-3.3379309796698703E-2</v>
      </c>
      <c r="M77">
        <v>-0.40265327890518499</v>
      </c>
      <c r="N77">
        <v>-0.42679139999999999</v>
      </c>
      <c r="O77" s="5">
        <f>(N77-M77)/M77</f>
        <v>5.9947658095437839E-2</v>
      </c>
      <c r="P77">
        <v>-0.38472000000000001</v>
      </c>
      <c r="Q77">
        <v>-4.2071399999999898E-2</v>
      </c>
      <c r="R77">
        <v>0</v>
      </c>
      <c r="S77">
        <v>4</v>
      </c>
      <c r="T77">
        <v>8.0821021913970803</v>
      </c>
      <c r="U77">
        <v>2.3151074162416201</v>
      </c>
      <c r="V77">
        <v>6.1</v>
      </c>
    </row>
    <row r="78" spans="1:22" x14ac:dyDescent="0.3">
      <c r="A78" t="s">
        <v>5</v>
      </c>
      <c r="B78" t="s">
        <v>4</v>
      </c>
      <c r="C78" t="s">
        <v>2</v>
      </c>
      <c r="D78">
        <v>5.6</v>
      </c>
      <c r="E78">
        <v>1734834910.81124</v>
      </c>
      <c r="F78" s="1">
        <f>E78/86400 + DATE(1970,1,1)</f>
        <v>45648.107764018976</v>
      </c>
      <c r="G78">
        <v>2.1371000000000002</v>
      </c>
      <c r="H78">
        <v>1734836813.2646101</v>
      </c>
      <c r="I78" s="1">
        <f t="shared" si="1"/>
        <v>45648.129783155207</v>
      </c>
      <c r="J78">
        <v>2.1156999999999999</v>
      </c>
      <c r="K78">
        <v>1.00135697908381E-2</v>
      </c>
      <c r="M78">
        <v>0.119840000000001</v>
      </c>
      <c r="N78">
        <v>0.11747042000000001</v>
      </c>
      <c r="O78" s="5">
        <f>(N78-M78)/M78</f>
        <v>-1.9772863818432705E-2</v>
      </c>
      <c r="P78">
        <v>0.11984</v>
      </c>
      <c r="Q78">
        <v>-2.36958E-3</v>
      </c>
      <c r="R78">
        <v>0</v>
      </c>
      <c r="S78">
        <v>1</v>
      </c>
      <c r="T78">
        <v>7.8044103056291796</v>
      </c>
      <c r="U78">
        <v>2.0374155304737198</v>
      </c>
      <c r="V78">
        <v>6.33</v>
      </c>
    </row>
    <row r="79" spans="1:22" x14ac:dyDescent="0.3">
      <c r="A79" t="s">
        <v>5</v>
      </c>
      <c r="B79" t="s">
        <v>4</v>
      </c>
      <c r="C79" t="s">
        <v>8</v>
      </c>
      <c r="D79">
        <v>5.6</v>
      </c>
      <c r="E79">
        <v>1734841208.7237799</v>
      </c>
      <c r="F79" s="1">
        <f>E79/86400 + DATE(1970,1,1)</f>
        <v>45648.180656525234</v>
      </c>
      <c r="G79">
        <v>2.1351</v>
      </c>
      <c r="H79">
        <v>1734845741.0812299</v>
      </c>
      <c r="I79" s="1">
        <f t="shared" si="1"/>
        <v>45648.233114366085</v>
      </c>
      <c r="J79">
        <v>2.1436999999999999</v>
      </c>
      <c r="K79">
        <v>-1.5735012533523999E-2</v>
      </c>
      <c r="M79">
        <v>-0.188136621457831</v>
      </c>
      <c r="N79">
        <v>-0.18819891999999999</v>
      </c>
      <c r="O79" s="5">
        <f>(N79-M79)/M79</f>
        <v>3.3113458552755062E-4</v>
      </c>
      <c r="P79">
        <v>-0.17024</v>
      </c>
      <c r="Q79">
        <v>-1.795892E-2</v>
      </c>
      <c r="R79">
        <v>0</v>
      </c>
      <c r="S79">
        <v>2</v>
      </c>
      <c r="T79">
        <v>7.8979365673264104</v>
      </c>
      <c r="U79">
        <v>2.1309417921709501</v>
      </c>
      <c r="V79">
        <v>6.33</v>
      </c>
    </row>
    <row r="80" spans="1:22" x14ac:dyDescent="0.3">
      <c r="A80" t="s">
        <v>5</v>
      </c>
      <c r="B80" t="s">
        <v>4</v>
      </c>
      <c r="C80" t="s">
        <v>8</v>
      </c>
      <c r="D80">
        <v>5.5</v>
      </c>
      <c r="E80">
        <v>1734849913.7397599</v>
      </c>
      <c r="F80" s="1">
        <f>E80/86400 + DATE(1970,1,1)</f>
        <v>45648.281409025003</v>
      </c>
      <c r="G80">
        <v>2.1738</v>
      </c>
      <c r="H80">
        <v>1734854454.0543101</v>
      </c>
      <c r="I80" s="1">
        <f t="shared" si="1"/>
        <v>45648.333958961921</v>
      </c>
      <c r="J80">
        <v>2.17605</v>
      </c>
      <c r="K80">
        <v>-2.38367933181442E-2</v>
      </c>
      <c r="M80">
        <v>-0.28499031723239998</v>
      </c>
      <c r="N80">
        <v>-0.28926779000000002</v>
      </c>
      <c r="O80" s="5">
        <f>(N80-M80)/M80</f>
        <v>1.5009186308992768E-2</v>
      </c>
      <c r="P80">
        <v>-0.25766999000000002</v>
      </c>
      <c r="Q80">
        <v>-3.0021880000000001E-2</v>
      </c>
      <c r="R80">
        <v>-1.57592E-3</v>
      </c>
      <c r="S80">
        <v>4</v>
      </c>
      <c r="T80">
        <v>7.9869908638262803</v>
      </c>
      <c r="U80">
        <v>2.2199960886708201</v>
      </c>
      <c r="V80">
        <v>6.14</v>
      </c>
    </row>
    <row r="81" spans="1:22" x14ac:dyDescent="0.3">
      <c r="A81" t="s">
        <v>5</v>
      </c>
      <c r="B81" t="s">
        <v>1</v>
      </c>
      <c r="C81" t="s">
        <v>2</v>
      </c>
      <c r="D81">
        <v>5.4</v>
      </c>
      <c r="E81">
        <v>1734856210.2100201</v>
      </c>
      <c r="F81" s="1">
        <f>E81/86400 + DATE(1970,1,1)</f>
        <v>45648.354284838191</v>
      </c>
      <c r="G81">
        <v>2.2084999999999999</v>
      </c>
      <c r="H81">
        <v>1734858046.20281</v>
      </c>
      <c r="I81" s="1">
        <f t="shared" si="1"/>
        <v>45648.375534754741</v>
      </c>
      <c r="J81">
        <v>2.2305999999999999</v>
      </c>
      <c r="K81">
        <v>1.0006791940230899E-2</v>
      </c>
      <c r="M81">
        <v>0.11934</v>
      </c>
      <c r="N81">
        <v>0.11693096</v>
      </c>
      <c r="O81" s="5">
        <f>(N81-M81)/M81</f>
        <v>-2.0186358304005371E-2</v>
      </c>
      <c r="P81">
        <v>0.11934</v>
      </c>
      <c r="Q81">
        <v>-2.4090399999999999E-3</v>
      </c>
      <c r="R81">
        <v>0</v>
      </c>
      <c r="S81">
        <v>1</v>
      </c>
      <c r="T81">
        <v>7.6462630626456098</v>
      </c>
      <c r="U81">
        <v>1.8792682874901501</v>
      </c>
      <c r="V81">
        <v>6.05</v>
      </c>
    </row>
    <row r="82" spans="1:22" x14ac:dyDescent="0.3">
      <c r="A82" t="s">
        <v>5</v>
      </c>
      <c r="B82" t="s">
        <v>4</v>
      </c>
      <c r="C82" t="s">
        <v>10</v>
      </c>
      <c r="D82">
        <v>5.3</v>
      </c>
      <c r="E82">
        <v>1734862811.64956</v>
      </c>
      <c r="F82" s="1">
        <f>E82/86400 + DATE(1970,1,1)</f>
        <v>45648.430690388428</v>
      </c>
      <c r="G82">
        <v>2.2222</v>
      </c>
      <c r="H82">
        <v>1734866288.01213</v>
      </c>
      <c r="I82" s="1">
        <f t="shared" si="1"/>
        <v>45648.470926066322</v>
      </c>
      <c r="J82">
        <v>2.1756000000000002</v>
      </c>
      <c r="K82">
        <v>1.0014307697642401E-2</v>
      </c>
      <c r="M82">
        <v>0.117945111198216</v>
      </c>
      <c r="N82">
        <v>0.11205621</v>
      </c>
      <c r="O82" s="5">
        <f>(N82-M82)/M82</f>
        <v>-4.9929167376163992E-2</v>
      </c>
      <c r="P82">
        <v>0.12614</v>
      </c>
      <c r="Q82">
        <v>-1.4083790000000001E-2</v>
      </c>
      <c r="R82">
        <v>0</v>
      </c>
      <c r="S82">
        <v>2</v>
      </c>
      <c r="T82">
        <v>7.6274558253516096</v>
      </c>
      <c r="U82">
        <v>1.86046105019615</v>
      </c>
      <c r="V82">
        <v>5.87</v>
      </c>
    </row>
    <row r="83" spans="1:22" x14ac:dyDescent="0.3">
      <c r="A83" t="s">
        <v>5</v>
      </c>
      <c r="B83" t="s">
        <v>4</v>
      </c>
      <c r="C83" t="s">
        <v>2</v>
      </c>
      <c r="D83">
        <v>5.5</v>
      </c>
      <c r="E83">
        <v>1734867014.2327299</v>
      </c>
      <c r="F83" s="1">
        <f>E83/86400 + DATE(1970,1,1)</f>
        <v>45648.479331397335</v>
      </c>
      <c r="G83">
        <v>2.1842000000000001</v>
      </c>
      <c r="H83">
        <v>1734869431.8717699</v>
      </c>
      <c r="I83" s="1">
        <f t="shared" si="1"/>
        <v>45648.507313330672</v>
      </c>
      <c r="J83">
        <v>2.1623999999999999</v>
      </c>
      <c r="K83">
        <v>9.9807709916675501E-3</v>
      </c>
      <c r="M83">
        <v>0.11990000000000101</v>
      </c>
      <c r="N83">
        <v>0.11752136000000001</v>
      </c>
      <c r="O83" s="5">
        <f>(N83-M83)/M83</f>
        <v>-1.9838532110099921E-2</v>
      </c>
      <c r="P83">
        <v>0.11990000000000001</v>
      </c>
      <c r="Q83">
        <v>-2.37864E-3</v>
      </c>
      <c r="R83">
        <v>0</v>
      </c>
      <c r="S83">
        <v>1</v>
      </c>
      <c r="T83">
        <v>7.3684516522063204</v>
      </c>
      <c r="U83">
        <v>1.6014568770508599</v>
      </c>
      <c r="V83">
        <v>5.55</v>
      </c>
    </row>
    <row r="84" spans="1:22" s="6" customFormat="1" x14ac:dyDescent="0.3">
      <c r="A84" t="s">
        <v>5</v>
      </c>
      <c r="B84" t="s">
        <v>1</v>
      </c>
      <c r="C84" t="s">
        <v>8</v>
      </c>
      <c r="D84">
        <v>5.5</v>
      </c>
      <c r="E84">
        <v>1734870914.49543</v>
      </c>
      <c r="F84" s="1">
        <f>E84/86400 + DATE(1970,1,1)</f>
        <v>45648.524473326732</v>
      </c>
      <c r="G84">
        <v>2.1877</v>
      </c>
      <c r="H84">
        <v>1734876534.1178701</v>
      </c>
      <c r="I84" s="1">
        <f t="shared" si="1"/>
        <v>45648.58951525313</v>
      </c>
      <c r="J84">
        <v>2.1671999999999998</v>
      </c>
      <c r="K84">
        <v>-3.1992553471014998E-2</v>
      </c>
      <c r="L84"/>
      <c r="M84">
        <v>-0.38494560075696699</v>
      </c>
      <c r="N84">
        <v>-0.38475398999999999</v>
      </c>
      <c r="O84" s="5">
        <f>(N84-M84)/M84</f>
        <v>-4.9776060978540726E-4</v>
      </c>
      <c r="P84">
        <v>-0.35484999</v>
      </c>
      <c r="Q84">
        <v>-2.9904E-2</v>
      </c>
      <c r="R84">
        <v>0</v>
      </c>
      <c r="S84">
        <v>3</v>
      </c>
      <c r="T84">
        <v>5.9174312574471202</v>
      </c>
      <c r="U84">
        <v>0.150436482291669</v>
      </c>
      <c r="V84">
        <v>3.88</v>
      </c>
    </row>
    <row r="85" spans="1:22" x14ac:dyDescent="0.3">
      <c r="A85" t="s">
        <v>5</v>
      </c>
      <c r="B85" t="s">
        <v>4</v>
      </c>
      <c r="C85" t="s">
        <v>2</v>
      </c>
      <c r="D85">
        <v>5.5</v>
      </c>
      <c r="E85">
        <v>1734877210.3902199</v>
      </c>
      <c r="F85" s="1">
        <f>E85/86400 + DATE(1970,1,1)</f>
        <v>45648.597342479392</v>
      </c>
      <c r="G85">
        <v>2.1698</v>
      </c>
      <c r="H85">
        <v>1734877411.2532101</v>
      </c>
      <c r="I85" s="1">
        <f t="shared" si="1"/>
        <v>45648.599667282528</v>
      </c>
      <c r="J85">
        <v>2.1480999999999999</v>
      </c>
      <c r="K85">
        <v>1.00009217439395E-2</v>
      </c>
      <c r="M85">
        <v>0.11935</v>
      </c>
      <c r="N85">
        <v>0.11698709</v>
      </c>
      <c r="O85" s="5">
        <f>(N85-M85)/M85</f>
        <v>-1.9798156682027616E-2</v>
      </c>
      <c r="P85">
        <v>0.11935</v>
      </c>
      <c r="Q85">
        <v>-2.3629100000000002E-3</v>
      </c>
      <c r="R85">
        <v>0</v>
      </c>
      <c r="S85">
        <v>1</v>
      </c>
      <c r="T85">
        <v>6.1571212574471303</v>
      </c>
      <c r="U85">
        <v>0.39012648229167002</v>
      </c>
      <c r="V85">
        <v>4.0999999999999996</v>
      </c>
    </row>
    <row r="86" spans="1:22" x14ac:dyDescent="0.3">
      <c r="A86" t="s">
        <v>5</v>
      </c>
      <c r="B86" t="s">
        <v>1</v>
      </c>
      <c r="C86" t="s">
        <v>2</v>
      </c>
      <c r="D86">
        <v>5.6</v>
      </c>
      <c r="E86">
        <v>1734882923.9173701</v>
      </c>
      <c r="F86" s="1">
        <f>E86/86400 + DATE(1970,1,1)</f>
        <v>45648.663471265856</v>
      </c>
      <c r="G86">
        <v>2.1322000000000001</v>
      </c>
      <c r="H86">
        <v>1734884323.44891</v>
      </c>
      <c r="I86" s="1">
        <f t="shared" si="1"/>
        <v>45648.679669547564</v>
      </c>
      <c r="J86">
        <v>2.1535000000000002</v>
      </c>
      <c r="K86">
        <v>9.9896820185724107E-3</v>
      </c>
      <c r="M86">
        <v>0.11928</v>
      </c>
      <c r="N86">
        <v>0.11804122</v>
      </c>
      <c r="O86" s="5">
        <f>(N86-M86)/M86</f>
        <v>-1.0385479543930206E-2</v>
      </c>
      <c r="P86">
        <v>0.11928</v>
      </c>
      <c r="Q86">
        <v>-2.4119200000000001E-3</v>
      </c>
      <c r="R86">
        <v>1.17314E-3</v>
      </c>
      <c r="S86">
        <v>1</v>
      </c>
      <c r="T86">
        <v>6.6318571555741297</v>
      </c>
      <c r="U86">
        <v>0.86486238041867003</v>
      </c>
      <c r="V86">
        <v>4.6100000000000003</v>
      </c>
    </row>
    <row r="87" spans="1:22" x14ac:dyDescent="0.3">
      <c r="A87" t="s">
        <v>3</v>
      </c>
      <c r="B87" t="s">
        <v>1</v>
      </c>
      <c r="C87" t="s">
        <v>2</v>
      </c>
      <c r="D87">
        <v>1.3</v>
      </c>
      <c r="E87">
        <v>1734754532.0797901</v>
      </c>
      <c r="F87" s="1">
        <f>E87/86400 + DATE(1970,1,1)</f>
        <v>45647.177454627199</v>
      </c>
      <c r="G87">
        <v>9.4670000000000005</v>
      </c>
      <c r="H87">
        <v>1734759981.0265901</v>
      </c>
      <c r="I87" s="1">
        <f t="shared" si="1"/>
        <v>45647.240521141088</v>
      </c>
      <c r="J87">
        <v>9.5619999999999994</v>
      </c>
      <c r="K87">
        <v>1.00348579275376E-2</v>
      </c>
      <c r="M87">
        <v>0.123499999999998</v>
      </c>
      <c r="N87">
        <v>0.12101388</v>
      </c>
      <c r="O87" s="5">
        <f>(N87-M87)/M87</f>
        <v>-2.0130526315773573E-2</v>
      </c>
      <c r="P87">
        <v>0.1235</v>
      </c>
      <c r="Q87">
        <v>-2.4861200000000001E-3</v>
      </c>
      <c r="R87">
        <v>0</v>
      </c>
      <c r="S87">
        <v>1</v>
      </c>
      <c r="T87">
        <v>10.8479275233921</v>
      </c>
      <c r="U87">
        <v>5.0809327482366902</v>
      </c>
      <c r="V87">
        <v>10.27</v>
      </c>
    </row>
    <row r="88" spans="1:22" x14ac:dyDescent="0.3">
      <c r="A88" t="s">
        <v>3</v>
      </c>
      <c r="B88" t="s">
        <v>4</v>
      </c>
      <c r="C88" t="s">
        <v>8</v>
      </c>
      <c r="D88">
        <v>1.2</v>
      </c>
      <c r="E88">
        <v>1734761713.5855501</v>
      </c>
      <c r="F88" s="1">
        <f>E88/86400 + DATE(1970,1,1)</f>
        <v>45647.260573906831</v>
      </c>
      <c r="G88">
        <v>9.6750000000000007</v>
      </c>
      <c r="H88">
        <v>1734770805.7963901</v>
      </c>
      <c r="I88" s="1">
        <f t="shared" si="1"/>
        <v>45647.365807828588</v>
      </c>
      <c r="J88">
        <v>9.5630000000000006</v>
      </c>
      <c r="K88">
        <v>-1.27492528178319E-2</v>
      </c>
      <c r="M88">
        <v>-0.14801882521502899</v>
      </c>
      <c r="N88">
        <v>-0.15144425</v>
      </c>
      <c r="O88" s="5">
        <f>(N88-M88)/M88</f>
        <v>2.3141818481499588E-2</v>
      </c>
      <c r="P88">
        <v>-0.1212</v>
      </c>
      <c r="Q88">
        <v>-2.9077800000000001E-2</v>
      </c>
      <c r="R88">
        <v>-1.1664500000000001E-3</v>
      </c>
      <c r="S88">
        <v>3</v>
      </c>
      <c r="T88">
        <v>11.4227112908554</v>
      </c>
      <c r="U88">
        <v>5.6557165156999396</v>
      </c>
      <c r="V88">
        <v>10.64</v>
      </c>
    </row>
    <row r="89" spans="1:22" x14ac:dyDescent="0.3">
      <c r="A89" t="s">
        <v>3</v>
      </c>
      <c r="B89" t="s">
        <v>4</v>
      </c>
      <c r="C89" t="s">
        <v>8</v>
      </c>
      <c r="D89">
        <v>1.3</v>
      </c>
      <c r="E89">
        <v>1734774323.40043</v>
      </c>
      <c r="F89" s="1">
        <f>E89/86400 + DATE(1970,1,1)</f>
        <v>45647.406520838311</v>
      </c>
      <c r="G89">
        <v>9.3870000000000005</v>
      </c>
      <c r="H89">
        <v>1734783959.1436901</v>
      </c>
      <c r="I89" s="1">
        <f t="shared" si="1"/>
        <v>45647.518045644567</v>
      </c>
      <c r="J89">
        <v>9.327</v>
      </c>
      <c r="K89">
        <v>-5.4359335310186097E-3</v>
      </c>
      <c r="M89">
        <v>-6.6335240472373297E-2</v>
      </c>
      <c r="N89">
        <v>-6.6365649999999901E-2</v>
      </c>
      <c r="O89" s="5">
        <f>(N89-M89)/M89</f>
        <v>4.5842190983341486E-4</v>
      </c>
      <c r="P89">
        <v>-4.80999999999999E-2</v>
      </c>
      <c r="Q89">
        <v>-1.8265650000000001E-2</v>
      </c>
      <c r="R89">
        <v>0</v>
      </c>
      <c r="S89">
        <v>2</v>
      </c>
      <c r="T89">
        <v>11.1984515072081</v>
      </c>
      <c r="U89">
        <v>5.4314567320527098</v>
      </c>
      <c r="V89">
        <v>10.37</v>
      </c>
    </row>
    <row r="90" spans="1:22" x14ac:dyDescent="0.3">
      <c r="A90" t="s">
        <v>3</v>
      </c>
      <c r="B90" t="s">
        <v>4</v>
      </c>
      <c r="C90" t="s">
        <v>2</v>
      </c>
      <c r="D90">
        <v>1.3</v>
      </c>
      <c r="E90">
        <v>1734796515.86922</v>
      </c>
      <c r="F90" s="1">
        <f>E90/86400 + DATE(1970,1,1)</f>
        <v>45647.663378115976</v>
      </c>
      <c r="G90">
        <v>9.1229999999999993</v>
      </c>
      <c r="H90">
        <v>1734797130.6347599</v>
      </c>
      <c r="I90" s="1">
        <f t="shared" si="1"/>
        <v>45647.670493457874</v>
      </c>
      <c r="J90">
        <v>9.032</v>
      </c>
      <c r="K90">
        <v>9.9747889948481102E-3</v>
      </c>
      <c r="M90">
        <v>0.118299999999999</v>
      </c>
      <c r="N90">
        <v>0.11714326</v>
      </c>
      <c r="O90" s="5">
        <f>(N90-M90)/M90</f>
        <v>-9.7780219780136419E-3</v>
      </c>
      <c r="P90">
        <v>0.1183</v>
      </c>
      <c r="Q90">
        <v>-2.3483200000000001E-3</v>
      </c>
      <c r="R90">
        <v>1.19158E-3</v>
      </c>
      <c r="S90">
        <v>1</v>
      </c>
      <c r="T90">
        <v>11.711336231383299</v>
      </c>
      <c r="U90">
        <v>5.9443414562279102</v>
      </c>
      <c r="V90">
        <v>10.55</v>
      </c>
    </row>
    <row r="91" spans="1:22" x14ac:dyDescent="0.3">
      <c r="A91" s="6" t="s">
        <v>3</v>
      </c>
      <c r="B91" s="6" t="s">
        <v>1</v>
      </c>
      <c r="C91" s="6" t="s">
        <v>6</v>
      </c>
      <c r="D91" s="6">
        <v>1.3</v>
      </c>
      <c r="E91" s="6">
        <v>1734803116.4745901</v>
      </c>
      <c r="F91" s="7">
        <f>E91/86400 + DATE(1970,1,1)</f>
        <v>45647.739774011454</v>
      </c>
      <c r="G91" s="6">
        <v>9.2910000000000004</v>
      </c>
      <c r="H91" s="6">
        <v>1734806522.2544999</v>
      </c>
      <c r="I91" s="1">
        <f t="shared" si="1"/>
        <v>45647.779192760412</v>
      </c>
      <c r="J91" s="6">
        <v>9.2808461999999992</v>
      </c>
      <c r="K91" s="6">
        <v>-3.1294462348999699E-2</v>
      </c>
      <c r="L91" s="6"/>
      <c r="M91" s="6">
        <v>-0.37798390458992298</v>
      </c>
      <c r="N91" s="6">
        <v>-0.42453873999999903</v>
      </c>
      <c r="O91" s="8">
        <f>(N91-M91)/M91</f>
        <v>0.12316618470985866</v>
      </c>
      <c r="P91" s="6">
        <v>-0.38239999999999902</v>
      </c>
      <c r="Q91" s="6">
        <v>-4.2138739999999897E-2</v>
      </c>
      <c r="R91" s="6">
        <v>0</v>
      </c>
      <c r="S91" s="6">
        <v>5</v>
      </c>
      <c r="T91" s="6">
        <v>9.7475439588908497</v>
      </c>
      <c r="U91" s="6">
        <v>3.9805491837354001</v>
      </c>
      <c r="V91" s="6">
        <v>8.4</v>
      </c>
    </row>
    <row r="92" spans="1:22" x14ac:dyDescent="0.3">
      <c r="A92" s="6" t="s">
        <v>3</v>
      </c>
      <c r="B92" s="6" t="s">
        <v>1</v>
      </c>
      <c r="C92" s="6" t="s">
        <v>6</v>
      </c>
      <c r="D92" s="6">
        <v>1.3</v>
      </c>
      <c r="E92" s="6">
        <v>1734808848.3856001</v>
      </c>
      <c r="F92" s="7">
        <f>E92/86400 + DATE(1970,1,1)</f>
        <v>45647.806115574072</v>
      </c>
      <c r="G92" s="6">
        <v>9.0879999999999992</v>
      </c>
      <c r="H92" s="6">
        <v>1734810969.8891201</v>
      </c>
      <c r="I92" s="1">
        <f t="shared" si="1"/>
        <v>45647.830670012961</v>
      </c>
      <c r="J92" s="6">
        <v>9.0790000000000006</v>
      </c>
      <c r="K92" s="6">
        <v>-3.2073848781806497E-2</v>
      </c>
      <c r="L92" s="6"/>
      <c r="M92" s="6">
        <v>-0.37893327904777502</v>
      </c>
      <c r="N92" s="6">
        <v>-0.42213014999999998</v>
      </c>
      <c r="O92" s="8">
        <f>(N92-M92)/M92</f>
        <v>0.11399598119430097</v>
      </c>
      <c r="P92" s="6">
        <v>-0.38090000000000002</v>
      </c>
      <c r="Q92" s="6">
        <v>-4.123015E-2</v>
      </c>
      <c r="R92" s="6">
        <v>0</v>
      </c>
      <c r="S92" s="6">
        <v>4</v>
      </c>
      <c r="T92" s="6">
        <v>9.9276154694102097</v>
      </c>
      <c r="U92" s="6">
        <v>4.1606206942547503</v>
      </c>
      <c r="V92" s="6">
        <v>8.35</v>
      </c>
    </row>
    <row r="93" spans="1:22" x14ac:dyDescent="0.3">
      <c r="A93" t="s">
        <v>3</v>
      </c>
      <c r="B93" t="s">
        <v>4</v>
      </c>
      <c r="C93" t="s">
        <v>2</v>
      </c>
      <c r="D93">
        <v>1.3</v>
      </c>
      <c r="E93">
        <v>1734813923.65137</v>
      </c>
      <c r="F93" s="1">
        <f>E93/86400 + DATE(1970,1,1)</f>
        <v>45647.864857076042</v>
      </c>
      <c r="G93">
        <v>9.1530000000000005</v>
      </c>
      <c r="H93">
        <v>1734817130.9373801</v>
      </c>
      <c r="I93" s="1">
        <f t="shared" si="1"/>
        <v>45647.9019784419</v>
      </c>
      <c r="J93">
        <v>9.0609999999999999</v>
      </c>
      <c r="K93">
        <v>1.00513492843876E-2</v>
      </c>
      <c r="M93">
        <v>0.1196</v>
      </c>
      <c r="N93">
        <v>0.11724414</v>
      </c>
      <c r="O93" s="5">
        <f>(N93-M93)/M93</f>
        <v>-1.9697826086956534E-2</v>
      </c>
      <c r="P93">
        <v>0.1196</v>
      </c>
      <c r="Q93">
        <v>-2.35586E-3</v>
      </c>
      <c r="R93">
        <v>0</v>
      </c>
      <c r="S93">
        <v>2</v>
      </c>
      <c r="T93">
        <v>9.7781946621682803</v>
      </c>
      <c r="U93">
        <v>4.01119988701282</v>
      </c>
      <c r="V93">
        <v>8.35</v>
      </c>
    </row>
    <row r="94" spans="1:22" x14ac:dyDescent="0.3">
      <c r="A94" t="s">
        <v>3</v>
      </c>
      <c r="B94" t="s">
        <v>4</v>
      </c>
      <c r="C94" t="s">
        <v>2</v>
      </c>
      <c r="D94">
        <v>1.3</v>
      </c>
      <c r="E94">
        <v>1734817820.48875</v>
      </c>
      <c r="F94" s="1">
        <f>E94/86400 + DATE(1970,1,1)</f>
        <v>45647.909959360535</v>
      </c>
      <c r="G94">
        <v>9.0939999999999994</v>
      </c>
      <c r="H94">
        <v>1734818972.5374701</v>
      </c>
      <c r="I94" s="1">
        <f t="shared" si="1"/>
        <v>45647.923293257758</v>
      </c>
      <c r="J94">
        <v>9.0030000000000001</v>
      </c>
      <c r="K94">
        <v>1.00065977567626E-2</v>
      </c>
      <c r="M94">
        <v>0.118299999999999</v>
      </c>
      <c r="N94">
        <v>0.11595922</v>
      </c>
      <c r="O94" s="5">
        <f>(N94-M94)/M94</f>
        <v>-1.9786813186804912E-2</v>
      </c>
      <c r="P94">
        <v>0.1183</v>
      </c>
      <c r="Q94">
        <v>-2.3407800000000002E-3</v>
      </c>
      <c r="R94">
        <v>0</v>
      </c>
      <c r="S94">
        <v>1</v>
      </c>
      <c r="T94">
        <v>10.0163746621682</v>
      </c>
      <c r="U94">
        <v>4.2493798870128199</v>
      </c>
      <c r="V94">
        <v>8.32</v>
      </c>
    </row>
    <row r="95" spans="1:22" x14ac:dyDescent="0.3">
      <c r="A95" s="2" t="s">
        <v>3</v>
      </c>
      <c r="B95" s="2" t="s">
        <v>1</v>
      </c>
      <c r="C95" s="2" t="s">
        <v>8</v>
      </c>
      <c r="D95" s="2">
        <v>1.3</v>
      </c>
      <c r="E95" s="2">
        <v>1734824729.3161199</v>
      </c>
      <c r="F95" s="3">
        <f>E95/86400 + DATE(1970,1,1)</f>
        <v>45647.989922640278</v>
      </c>
      <c r="G95" s="2">
        <v>9.1020000000000003</v>
      </c>
      <c r="H95" s="2">
        <v>1734829979.8081</v>
      </c>
      <c r="I95" s="1">
        <f t="shared" si="1"/>
        <v>45648.050692223376</v>
      </c>
      <c r="J95" s="2">
        <v>9.2249999999999996</v>
      </c>
      <c r="K95" s="2">
        <v>1.81474534127938E-3</v>
      </c>
      <c r="L95" s="2"/>
      <c r="M95" s="2">
        <v>2.14731557252224E-2</v>
      </c>
      <c r="N95" s="2">
        <v>2.4952189999999898E-2</v>
      </c>
      <c r="O95" s="4">
        <f>(N95-M95)/M95</f>
        <v>0.16201783842563111</v>
      </c>
      <c r="P95" s="2">
        <v>4.1599999999999901E-2</v>
      </c>
      <c r="Q95" s="2">
        <v>-1.782885E-2</v>
      </c>
      <c r="R95" s="2">
        <v>1.18104E-3</v>
      </c>
      <c r="S95" s="2">
        <v>3</v>
      </c>
      <c r="T95" s="2">
        <v>8.1035753471223</v>
      </c>
      <c r="U95" s="2">
        <v>2.3365805719668402</v>
      </c>
      <c r="V95" s="2">
        <v>6.12</v>
      </c>
    </row>
    <row r="96" spans="1:22" x14ac:dyDescent="0.3">
      <c r="A96" t="s">
        <v>3</v>
      </c>
      <c r="B96" t="s">
        <v>4</v>
      </c>
      <c r="C96" t="s">
        <v>2</v>
      </c>
      <c r="D96">
        <v>1.3</v>
      </c>
      <c r="E96">
        <v>1734833710.8731501</v>
      </c>
      <c r="F96" s="1">
        <f>E96/86400 + DATE(1970,1,1)</f>
        <v>45648.093875846644</v>
      </c>
      <c r="G96">
        <v>9.0839999999999996</v>
      </c>
      <c r="H96">
        <v>1734836501.7244999</v>
      </c>
      <c r="I96" s="1">
        <f t="shared" si="1"/>
        <v>45648.126177366896</v>
      </c>
      <c r="J96">
        <v>8.9930000000000003</v>
      </c>
      <c r="K96">
        <v>1.00176133861734E-2</v>
      </c>
      <c r="M96">
        <v>0.118299999999999</v>
      </c>
      <c r="N96">
        <v>0.11596181999999999</v>
      </c>
      <c r="O96" s="5">
        <f>(N96-M96)/M96</f>
        <v>-1.9764835164826963E-2</v>
      </c>
      <c r="P96">
        <v>0.1183</v>
      </c>
      <c r="Q96">
        <v>-2.33818E-3</v>
      </c>
      <c r="R96">
        <v>0</v>
      </c>
      <c r="S96">
        <v>1</v>
      </c>
      <c r="T96">
        <v>7.5646903056291803</v>
      </c>
      <c r="U96">
        <v>1.7976955304737201</v>
      </c>
      <c r="V96">
        <v>6.09</v>
      </c>
    </row>
    <row r="97" spans="1:22" x14ac:dyDescent="0.3">
      <c r="A97" t="s">
        <v>3</v>
      </c>
      <c r="B97" t="s">
        <v>4</v>
      </c>
      <c r="C97" t="s">
        <v>10</v>
      </c>
      <c r="D97">
        <v>1.3</v>
      </c>
      <c r="E97">
        <v>1734841228.6466501</v>
      </c>
      <c r="F97" s="1">
        <f>E97/86400 + DATE(1970,1,1)</f>
        <v>45648.180887114009</v>
      </c>
      <c r="G97">
        <v>8.9397307999999995</v>
      </c>
      <c r="H97">
        <v>1734844276.27791</v>
      </c>
      <c r="I97" s="1">
        <f t="shared" si="1"/>
        <v>45648.216160623953</v>
      </c>
      <c r="J97">
        <v>8.7530000000000001</v>
      </c>
      <c r="K97">
        <v>9.9815311260254107E-3</v>
      </c>
      <c r="M97">
        <v>0.11600186161003399</v>
      </c>
      <c r="N97">
        <v>0.11020257999999999</v>
      </c>
      <c r="O97" s="5">
        <f>(N97-M97)/M97</f>
        <v>-4.9993004677197091E-2</v>
      </c>
      <c r="P97">
        <v>0.1241</v>
      </c>
      <c r="Q97">
        <v>-1.3897420000000001E-2</v>
      </c>
      <c r="R97">
        <v>0</v>
      </c>
      <c r="S97">
        <v>2</v>
      </c>
      <c r="T97">
        <v>8.0860731887842405</v>
      </c>
      <c r="U97">
        <v>2.3190784136287799</v>
      </c>
      <c r="V97">
        <v>6.42</v>
      </c>
    </row>
    <row r="98" spans="1:22" x14ac:dyDescent="0.3">
      <c r="A98" t="s">
        <v>3</v>
      </c>
      <c r="B98" t="s">
        <v>1</v>
      </c>
      <c r="C98" t="s">
        <v>8</v>
      </c>
      <c r="D98">
        <v>1.3</v>
      </c>
      <c r="E98">
        <v>1734855614.42699</v>
      </c>
      <c r="F98" s="1">
        <f>E98/86400 + DATE(1970,1,1)</f>
        <v>45648.34738920127</v>
      </c>
      <c r="G98">
        <v>9.0570000000000004</v>
      </c>
      <c r="H98">
        <v>1734862033.4407599</v>
      </c>
      <c r="I98" s="1">
        <f t="shared" si="1"/>
        <v>45648.421683342123</v>
      </c>
      <c r="J98">
        <v>9.1579999999999995</v>
      </c>
      <c r="K98">
        <v>-1.16146753036083E-2</v>
      </c>
      <c r="M98">
        <v>-0.13675234849221499</v>
      </c>
      <c r="N98">
        <v>-0.13668224000000001</v>
      </c>
      <c r="O98" s="5">
        <f>(N98-M98)/M98</f>
        <v>-5.1266755553355282E-4</v>
      </c>
      <c r="P98">
        <v>-0.107299989999999</v>
      </c>
      <c r="Q98">
        <v>-2.9382249999999999E-2</v>
      </c>
      <c r="R98">
        <v>0</v>
      </c>
      <c r="S98">
        <v>3</v>
      </c>
      <c r="T98">
        <v>7.5095107141534001</v>
      </c>
      <c r="U98">
        <v>1.7425159389979401</v>
      </c>
      <c r="V98">
        <v>5.92</v>
      </c>
    </row>
    <row r="99" spans="1:22" x14ac:dyDescent="0.3">
      <c r="A99" t="s">
        <v>3</v>
      </c>
      <c r="B99" t="s">
        <v>1</v>
      </c>
      <c r="C99" t="s">
        <v>8</v>
      </c>
      <c r="D99">
        <v>1.3</v>
      </c>
      <c r="E99">
        <v>1734862850.9446499</v>
      </c>
      <c r="F99" s="1">
        <f>E99/86400 + DATE(1970,1,1)</f>
        <v>45648.431145192706</v>
      </c>
      <c r="G99">
        <v>9.1319999999999997</v>
      </c>
      <c r="H99">
        <v>1734873089.48716</v>
      </c>
      <c r="I99" s="1">
        <f t="shared" si="1"/>
        <v>45648.549646842133</v>
      </c>
      <c r="J99">
        <v>9.1359999999999992</v>
      </c>
      <c r="K99">
        <v>-2.2204496675652399E-2</v>
      </c>
      <c r="M99">
        <v>-0.26360290273467502</v>
      </c>
      <c r="N99">
        <v>-0.26356460999999998</v>
      </c>
      <c r="O99" s="5">
        <f>(N99-M99)/M99</f>
        <v>-1.4526674129071047E-4</v>
      </c>
      <c r="P99">
        <v>-0.23400001000000001</v>
      </c>
      <c r="Q99">
        <v>-2.95646E-2</v>
      </c>
      <c r="R99">
        <v>0</v>
      </c>
      <c r="S99">
        <v>3</v>
      </c>
      <c r="T99">
        <v>6.5325478837127697</v>
      </c>
      <c r="U99">
        <v>0.76555310855731995</v>
      </c>
      <c r="V99">
        <v>4.38</v>
      </c>
    </row>
    <row r="100" spans="1:22" x14ac:dyDescent="0.3">
      <c r="A100" t="s">
        <v>3</v>
      </c>
      <c r="B100" t="s">
        <v>4</v>
      </c>
      <c r="C100" t="s">
        <v>10</v>
      </c>
      <c r="D100">
        <v>1.3</v>
      </c>
      <c r="E100">
        <v>1734873911.57498</v>
      </c>
      <c r="F100" s="1">
        <f>E100/86400 + DATE(1970,1,1)</f>
        <v>45648.559161747457</v>
      </c>
      <c r="G100">
        <v>9.0901923</v>
      </c>
      <c r="H100">
        <v>1734877822.0331299</v>
      </c>
      <c r="I100" s="1">
        <f t="shared" si="1"/>
        <v>45648.604421679745</v>
      </c>
      <c r="J100">
        <v>8.8970000000000002</v>
      </c>
      <c r="K100">
        <v>9.98164727353721E-3</v>
      </c>
      <c r="M100">
        <v>0.117955621143391</v>
      </c>
      <c r="N100">
        <v>0.11196954000000001</v>
      </c>
      <c r="O100" s="5">
        <f>(N100-M100)/M100</f>
        <v>-5.0748587353154684E-2</v>
      </c>
      <c r="P100">
        <v>0.12610001000000001</v>
      </c>
      <c r="Q100">
        <v>-1.4130469999999999E-2</v>
      </c>
      <c r="R100">
        <v>0</v>
      </c>
      <c r="S100">
        <v>3</v>
      </c>
      <c r="T100">
        <v>6.5125771555741201</v>
      </c>
      <c r="U100">
        <v>0.74558238041866898</v>
      </c>
      <c r="V100">
        <v>4.72</v>
      </c>
    </row>
    <row r="102" spans="1:22" x14ac:dyDescent="0.3">
      <c r="K102">
        <f>SUM(K2:K100)</f>
        <v>-0.28857236924655338</v>
      </c>
      <c r="M102">
        <f>SUM(M2:M100)</f>
        <v>-3.4634200679690483</v>
      </c>
      <c r="N102">
        <f>SUM(N2:N100)</f>
        <v>-4.1658814899999959</v>
      </c>
      <c r="O102" s="9">
        <f>AVERAGE(O2:O100)</f>
        <v>6.9815425148480378E-3</v>
      </c>
    </row>
  </sheetData>
  <sortState xmlns:xlrd2="http://schemas.microsoft.com/office/spreadsheetml/2017/richdata2" ref="A2:V102">
    <sortCondition ref="A2:A102"/>
  </sortState>
  <conditionalFormatting sqref="K2:K2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1E10-EA79-4044-A95D-E1CE7CCA7635}">
  <dimension ref="A1:O4"/>
  <sheetViews>
    <sheetView tabSelected="1" workbookViewId="0">
      <selection activeCell="E5" sqref="E5"/>
    </sheetView>
  </sheetViews>
  <sheetFormatPr defaultRowHeight="14.4" x14ac:dyDescent="0.3"/>
  <sheetData>
    <row r="1" spans="1:15" x14ac:dyDescent="0.3">
      <c r="B1" s="16" t="s">
        <v>6</v>
      </c>
      <c r="C1" s="16"/>
      <c r="D1" s="16" t="s">
        <v>8</v>
      </c>
      <c r="E1" s="16"/>
      <c r="F1" s="16" t="s">
        <v>37</v>
      </c>
      <c r="G1" s="16"/>
      <c r="H1" s="16" t="s">
        <v>35</v>
      </c>
      <c r="I1" s="16"/>
      <c r="J1" s="16" t="s">
        <v>36</v>
      </c>
      <c r="K1" s="16"/>
      <c r="L1" s="16" t="s">
        <v>19</v>
      </c>
      <c r="M1" s="16"/>
      <c r="N1" s="16" t="s">
        <v>38</v>
      </c>
      <c r="O1" s="16"/>
    </row>
    <row r="2" spans="1:15" x14ac:dyDescent="0.3">
      <c r="B2" s="15" t="s">
        <v>34</v>
      </c>
      <c r="C2" s="15" t="s">
        <v>32</v>
      </c>
      <c r="D2" s="15" t="s">
        <v>34</v>
      </c>
      <c r="E2" s="15" t="s">
        <v>32</v>
      </c>
      <c r="F2" s="15" t="s">
        <v>34</v>
      </c>
      <c r="G2" s="15" t="s">
        <v>32</v>
      </c>
      <c r="H2" s="15" t="s">
        <v>34</v>
      </c>
      <c r="I2" s="15" t="s">
        <v>32</v>
      </c>
      <c r="J2" s="15" t="s">
        <v>34</v>
      </c>
      <c r="K2" s="15" t="s">
        <v>32</v>
      </c>
      <c r="L2" s="15" t="s">
        <v>34</v>
      </c>
      <c r="M2" s="15" t="s">
        <v>32</v>
      </c>
      <c r="N2" s="15" t="s">
        <v>34</v>
      </c>
      <c r="O2" s="15" t="s">
        <v>32</v>
      </c>
    </row>
    <row r="3" spans="1:15" x14ac:dyDescent="0.3">
      <c r="A3" t="s">
        <v>33</v>
      </c>
      <c r="B3" s="15">
        <v>2</v>
      </c>
      <c r="C3" s="15">
        <v>2</v>
      </c>
      <c r="D3" s="15">
        <v>7</v>
      </c>
      <c r="E3" s="15">
        <v>6</v>
      </c>
      <c r="F3" s="15">
        <v>2</v>
      </c>
      <c r="G3" s="15">
        <v>1</v>
      </c>
      <c r="H3" s="15">
        <v>9</v>
      </c>
      <c r="I3" s="15">
        <v>11</v>
      </c>
      <c r="J3">
        <v>20</v>
      </c>
      <c r="K3">
        <v>20</v>
      </c>
      <c r="L3">
        <v>-1.8200000000000001E-2</v>
      </c>
      <c r="M3">
        <v>8.2000000000000007E-3</v>
      </c>
      <c r="N3" s="17" t="s">
        <v>39</v>
      </c>
      <c r="O3" s="17" t="s">
        <v>40</v>
      </c>
    </row>
    <row r="4" spans="1:15" x14ac:dyDescent="0.3">
      <c r="A4" t="s">
        <v>41</v>
      </c>
      <c r="D4">
        <v>-9.2999999999999992E-3</v>
      </c>
      <c r="E4">
        <v>-6.1999999999999998E-3</v>
      </c>
    </row>
  </sheetData>
  <mergeCells count="7">
    <mergeCell ref="N1:O1"/>
    <mergeCell ref="B1:C1"/>
    <mergeCell ref="H1:I1"/>
    <mergeCell ref="F1:G1"/>
    <mergeCell ref="D1:E1"/>
    <mergeCell ref="L1:M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 garcia</cp:lastModifiedBy>
  <dcterms:created xsi:type="dcterms:W3CDTF">2024-12-23T14:51:06Z</dcterms:created>
  <dcterms:modified xsi:type="dcterms:W3CDTF">2024-12-23T16:20:13Z</dcterms:modified>
</cp:coreProperties>
</file>