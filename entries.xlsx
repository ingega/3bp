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threeBarsPattern\bay1\"/>
    </mc:Choice>
  </mc:AlternateContent>
  <xr:revisionPtr revIDLastSave="0" documentId="8_{D5D74888-5719-4821-A2EF-998C26E08FE3}" xr6:coauthVersionLast="47" xr6:coauthVersionMax="47" xr10:uidLastSave="{00000000-0000-0000-0000-000000000000}"/>
  <bookViews>
    <workbookView xWindow="-108" yWindow="-108" windowWidth="23256" windowHeight="12576" xr2:uid="{76C2706C-27C0-4BEA-ABC4-ECDCFB9B6600}"/>
  </bookViews>
  <sheets>
    <sheet name="entries" sheetId="1" r:id="rId1"/>
  </sheets>
  <calcPr calcId="0"/>
</workbook>
</file>

<file path=xl/calcChain.xml><?xml version="1.0" encoding="utf-8"?>
<calcChain xmlns="http://schemas.openxmlformats.org/spreadsheetml/2006/main">
  <c r="D90" i="1" l="1"/>
  <c r="D89" i="1"/>
  <c r="D87" i="1"/>
  <c r="D88" i="1"/>
  <c r="E90" i="1"/>
  <c r="E89" i="1"/>
  <c r="E88" i="1"/>
  <c r="E87" i="1"/>
  <c r="C92" i="1"/>
  <c r="C90" i="1"/>
  <c r="C89" i="1"/>
  <c r="C88" i="1"/>
  <c r="C87" i="1"/>
  <c r="L88" i="1"/>
  <c r="J88" i="1"/>
  <c r="J87" i="1"/>
  <c r="L87" i="1"/>
  <c r="K8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</calcChain>
</file>

<file path=xl/sharedStrings.xml><?xml version="1.0" encoding="utf-8"?>
<sst xmlns="http://schemas.openxmlformats.org/spreadsheetml/2006/main" count="260" uniqueCount="17">
  <si>
    <t>HOOKUSDT</t>
  </si>
  <si>
    <t>BUY</t>
  </si>
  <si>
    <t>direct TP</t>
  </si>
  <si>
    <t>XVSUSDT</t>
  </si>
  <si>
    <t>SELL</t>
  </si>
  <si>
    <t>THETAUSDT</t>
  </si>
  <si>
    <t>sl</t>
  </si>
  <si>
    <t>IDUSDT</t>
  </si>
  <si>
    <t>tie</t>
  </si>
  <si>
    <t>1000SHIBUSDT</t>
  </si>
  <si>
    <t>Indirect TP</t>
  </si>
  <si>
    <t>DateIn</t>
  </si>
  <si>
    <t>Profit</t>
  </si>
  <si>
    <t>Money</t>
  </si>
  <si>
    <t>Real</t>
  </si>
  <si>
    <t>direct tp</t>
  </si>
  <si>
    <t>IndirectTp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</si>
</sst>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64" fontId="0" fillId="33" borderId="0" xfId="0" applyNumberFormat="1" applyFill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1DEE-52BA-4F9A-BAFA-244F8CADEF2F}">
  <dimension ref="A1:S92"/>
  <sheetViews>
    <sheetView tabSelected="1" workbookViewId="0">
      <pane ySplit="1" topLeftCell="A80" activePane="bottomLeft" state="frozen"/>
      <selection pane="bottomLeft" activeCell="D90" sqref="D90"/>
    </sheetView>
  </sheetViews>
  <sheetFormatPr defaultRowHeight="14.4" x14ac:dyDescent="0.3"/>
  <cols>
    <col min="1" max="1" width="13.33203125" bestFit="1" customWidth="1"/>
    <col min="5" max="5" width="11" bestFit="1" customWidth="1"/>
    <col min="6" max="6" width="18" bestFit="1" customWidth="1"/>
    <col min="8" max="8" width="11" bestFit="1" customWidth="1"/>
  </cols>
  <sheetData>
    <row r="1" spans="1:19" x14ac:dyDescent="0.3">
      <c r="F1" t="s">
        <v>11</v>
      </c>
      <c r="J1" t="s">
        <v>12</v>
      </c>
      <c r="K1" t="s">
        <v>13</v>
      </c>
      <c r="L1" s="2" t="s">
        <v>14</v>
      </c>
    </row>
    <row r="2" spans="1:19" x14ac:dyDescent="0.3">
      <c r="A2" t="s">
        <v>5</v>
      </c>
      <c r="B2" t="s">
        <v>1</v>
      </c>
      <c r="C2" t="s">
        <v>2</v>
      </c>
      <c r="D2">
        <v>4.8</v>
      </c>
      <c r="E2">
        <v>1734661512.11761</v>
      </c>
      <c r="F2" s="1">
        <f t="shared" ref="F2:F57" si="0">E2/86400 + DATE(1970,1,1)</f>
        <v>45646.10083469456</v>
      </c>
      <c r="G2">
        <v>2.0947</v>
      </c>
      <c r="H2">
        <v>1734661722.2873499</v>
      </c>
      <c r="I2">
        <v>2.1156000000000001</v>
      </c>
      <c r="J2">
        <v>9.9775624194396E-3</v>
      </c>
      <c r="K2">
        <v>0.10032000000000001</v>
      </c>
      <c r="L2">
        <v>9.8289029999999999E-2</v>
      </c>
      <c r="M2">
        <v>0.10032000000000001</v>
      </c>
      <c r="N2">
        <v>-2.03097E-3</v>
      </c>
      <c r="O2">
        <v>0</v>
      </c>
      <c r="P2">
        <v>1</v>
      </c>
      <c r="Q2">
        <v>7.6460896585774396</v>
      </c>
      <c r="R2">
        <v>1.8790948834219801</v>
      </c>
      <c r="S2">
        <v>8.76</v>
      </c>
    </row>
    <row r="3" spans="1:19" x14ac:dyDescent="0.3">
      <c r="A3" t="s">
        <v>0</v>
      </c>
      <c r="B3" t="s">
        <v>1</v>
      </c>
      <c r="C3" t="s">
        <v>2</v>
      </c>
      <c r="D3">
        <v>23.7</v>
      </c>
      <c r="E3">
        <v>1734661533.06106</v>
      </c>
      <c r="F3" s="1">
        <f t="shared" si="0"/>
        <v>45646.101077095605</v>
      </c>
      <c r="G3">
        <v>0.42130000000000001</v>
      </c>
      <c r="H3">
        <v>1734661883.4256699</v>
      </c>
      <c r="I3">
        <v>0.42549999999999999</v>
      </c>
      <c r="J3">
        <v>9.9691431284120099E-3</v>
      </c>
      <c r="K3">
        <v>9.9539999999999504E-2</v>
      </c>
      <c r="L3">
        <v>9.752313E-2</v>
      </c>
      <c r="M3">
        <v>9.9540000000000003E-2</v>
      </c>
      <c r="N3">
        <v>-2.01687E-3</v>
      </c>
      <c r="O3">
        <v>0</v>
      </c>
      <c r="P3">
        <v>1</v>
      </c>
      <c r="Q3">
        <v>7.7456296585774398</v>
      </c>
      <c r="R3">
        <v>1.97863488342198</v>
      </c>
      <c r="S3">
        <v>8.86</v>
      </c>
    </row>
    <row r="4" spans="1:19" x14ac:dyDescent="0.3">
      <c r="A4" t="s">
        <v>9</v>
      </c>
      <c r="B4" t="s">
        <v>4</v>
      </c>
      <c r="C4" t="s">
        <v>2</v>
      </c>
      <c r="D4">
        <v>539</v>
      </c>
      <c r="E4">
        <v>1734669931.23453</v>
      </c>
      <c r="F4" s="1">
        <f t="shared" si="0"/>
        <v>45646.198278177428</v>
      </c>
      <c r="G4">
        <v>2.2279E-2</v>
      </c>
      <c r="H4">
        <v>1734670582.8660901</v>
      </c>
      <c r="I4">
        <v>2.2055999999999999E-2</v>
      </c>
      <c r="J4">
        <v>1.00094259167826E-2</v>
      </c>
      <c r="K4">
        <v>0.120197</v>
      </c>
      <c r="L4">
        <v>0.11781936999999899</v>
      </c>
      <c r="M4">
        <v>0.120197</v>
      </c>
      <c r="N4">
        <v>-2.3776299999999999E-3</v>
      </c>
      <c r="O4">
        <v>0</v>
      </c>
      <c r="P4">
        <v>1</v>
      </c>
      <c r="Q4">
        <v>7.8658266585774399</v>
      </c>
      <c r="R4">
        <v>2.0988318834219801</v>
      </c>
      <c r="S4">
        <v>8.9499999999999993</v>
      </c>
    </row>
    <row r="5" spans="1:19" x14ac:dyDescent="0.3">
      <c r="A5" t="s">
        <v>7</v>
      </c>
      <c r="B5" t="s">
        <v>4</v>
      </c>
      <c r="C5" t="s">
        <v>2</v>
      </c>
      <c r="D5">
        <v>29</v>
      </c>
      <c r="E5">
        <v>1734669911.61519</v>
      </c>
      <c r="F5" s="1">
        <f t="shared" si="0"/>
        <v>45646.198051101732</v>
      </c>
      <c r="G5">
        <v>0.41487000000000002</v>
      </c>
      <c r="H5">
        <v>1734671252.1296899</v>
      </c>
      <c r="I5">
        <v>0.41071999999999997</v>
      </c>
      <c r="J5">
        <v>1.0003133511702501E-2</v>
      </c>
      <c r="K5">
        <v>0.120350000000001</v>
      </c>
      <c r="L5">
        <v>0.11796783</v>
      </c>
      <c r="M5">
        <v>0.12035</v>
      </c>
      <c r="N5">
        <v>-2.3821699999999999E-3</v>
      </c>
      <c r="O5">
        <v>0</v>
      </c>
      <c r="P5">
        <v>1</v>
      </c>
      <c r="Q5">
        <v>7.9861766585774401</v>
      </c>
      <c r="R5">
        <v>2.2191818834219799</v>
      </c>
      <c r="S5">
        <v>9.07</v>
      </c>
    </row>
    <row r="6" spans="1:19" x14ac:dyDescent="0.3">
      <c r="A6" t="s">
        <v>3</v>
      </c>
      <c r="B6" t="s">
        <v>4</v>
      </c>
      <c r="C6" t="s">
        <v>10</v>
      </c>
      <c r="D6">
        <v>1.3</v>
      </c>
      <c r="E6">
        <v>1734672914.5073099</v>
      </c>
      <c r="F6" s="1">
        <f t="shared" si="0"/>
        <v>45646.232806797569</v>
      </c>
      <c r="G6">
        <v>9.0229999999999997</v>
      </c>
      <c r="H6">
        <v>1734674580.56143</v>
      </c>
      <c r="I6">
        <v>8.8350000000000009</v>
      </c>
      <c r="J6">
        <v>1.00510032306921E-2</v>
      </c>
      <c r="K6">
        <v>0.117897262795696</v>
      </c>
      <c r="L6">
        <v>0.11207301</v>
      </c>
      <c r="M6">
        <v>0.12609999999999999</v>
      </c>
      <c r="N6">
        <v>-1.402699E-2</v>
      </c>
      <c r="O6">
        <v>0</v>
      </c>
      <c r="P6">
        <v>2</v>
      </c>
      <c r="Q6">
        <v>8.1040739213731303</v>
      </c>
      <c r="R6">
        <v>2.3370791462176701</v>
      </c>
      <c r="S6">
        <v>8.7799999999999994</v>
      </c>
    </row>
    <row r="7" spans="1:19" x14ac:dyDescent="0.3">
      <c r="A7" t="s">
        <v>5</v>
      </c>
      <c r="B7" t="s">
        <v>4</v>
      </c>
      <c r="C7" t="s">
        <v>8</v>
      </c>
      <c r="D7">
        <v>5.7</v>
      </c>
      <c r="E7">
        <v>1734668120.0350201</v>
      </c>
      <c r="F7" s="1">
        <f t="shared" si="0"/>
        <v>45646.177315220135</v>
      </c>
      <c r="G7">
        <v>2.0937000000000001</v>
      </c>
      <c r="H7">
        <v>1734675228.39554</v>
      </c>
      <c r="I7">
        <v>2.0655999999999999</v>
      </c>
      <c r="J7">
        <v>2.2654186876327302E-3</v>
      </c>
      <c r="K7">
        <v>2.70357105058909E-2</v>
      </c>
      <c r="L7">
        <v>2.7208949999999999E-2</v>
      </c>
      <c r="M7">
        <v>4.5030000000000001E-2</v>
      </c>
      <c r="N7">
        <v>-1.7821049999999901E-2</v>
      </c>
      <c r="O7">
        <v>0</v>
      </c>
      <c r="P7">
        <v>2</v>
      </c>
      <c r="Q7">
        <v>8.1311096318790206</v>
      </c>
      <c r="R7">
        <v>2.3641148567235701</v>
      </c>
      <c r="S7">
        <v>8.93</v>
      </c>
    </row>
    <row r="8" spans="1:19" x14ac:dyDescent="0.3">
      <c r="A8" t="s">
        <v>0</v>
      </c>
      <c r="B8" t="s">
        <v>4</v>
      </c>
      <c r="C8" t="s">
        <v>8</v>
      </c>
      <c r="D8">
        <v>28.4</v>
      </c>
      <c r="E8">
        <v>1734668139.6639099</v>
      </c>
      <c r="F8" s="1">
        <f t="shared" si="0"/>
        <v>45646.177542406367</v>
      </c>
      <c r="G8">
        <v>0.41820000000000002</v>
      </c>
      <c r="H8">
        <v>1734675387.2098701</v>
      </c>
      <c r="I8">
        <v>0.41460000000000002</v>
      </c>
      <c r="J8">
        <v>-3.1691934155679302E-3</v>
      </c>
      <c r="K8">
        <v>-3.7640129893490498E-2</v>
      </c>
      <c r="L8">
        <v>-3.7644200000000003E-2</v>
      </c>
      <c r="M8">
        <v>-1.9879999999999998E-2</v>
      </c>
      <c r="N8">
        <v>-1.7764200000000001E-2</v>
      </c>
      <c r="O8">
        <v>0</v>
      </c>
      <c r="P8">
        <v>2</v>
      </c>
      <c r="Q8">
        <v>8.0934695019855294</v>
      </c>
      <c r="R8">
        <v>2.3264747268300701</v>
      </c>
      <c r="S8">
        <v>9.02</v>
      </c>
    </row>
    <row r="9" spans="1:19" x14ac:dyDescent="0.3">
      <c r="A9" t="s">
        <v>9</v>
      </c>
      <c r="B9" t="s">
        <v>4</v>
      </c>
      <c r="C9" t="s">
        <v>10</v>
      </c>
      <c r="D9">
        <v>543</v>
      </c>
      <c r="E9">
        <v>1734671713.6668999</v>
      </c>
      <c r="F9" s="1">
        <f t="shared" si="0"/>
        <v>45646.218908181712</v>
      </c>
      <c r="G9">
        <v>2.188E-2</v>
      </c>
      <c r="H9">
        <v>1734677720.08622</v>
      </c>
      <c r="I9">
        <v>2.1425E-2</v>
      </c>
      <c r="J9">
        <v>9.9956992689454408E-3</v>
      </c>
      <c r="K9">
        <v>0.118757303702457</v>
      </c>
      <c r="L9">
        <v>0.11285441</v>
      </c>
      <c r="M9">
        <v>0.12706200000000001</v>
      </c>
      <c r="N9">
        <v>-1.42075899999999E-2</v>
      </c>
      <c r="O9">
        <v>0</v>
      </c>
      <c r="P9">
        <v>2</v>
      </c>
      <c r="Q9">
        <v>8.2122268056879903</v>
      </c>
      <c r="R9">
        <v>2.4452320305325301</v>
      </c>
      <c r="S9">
        <v>8.99</v>
      </c>
    </row>
    <row r="10" spans="1:19" x14ac:dyDescent="0.3">
      <c r="A10" t="s">
        <v>7</v>
      </c>
      <c r="B10" t="s">
        <v>1</v>
      </c>
      <c r="C10" t="s">
        <v>2</v>
      </c>
      <c r="D10">
        <v>30</v>
      </c>
      <c r="E10">
        <v>1734678016.4019699</v>
      </c>
      <c r="F10" s="1">
        <f t="shared" si="0"/>
        <v>45646.291856504278</v>
      </c>
      <c r="G10">
        <v>0.40129999999999999</v>
      </c>
      <c r="H10">
        <v>1734678177.7958601</v>
      </c>
      <c r="I10">
        <v>0.40531</v>
      </c>
      <c r="J10">
        <v>9.9925242960379104E-3</v>
      </c>
      <c r="K10">
        <v>0.1203</v>
      </c>
      <c r="L10">
        <v>0.11786814</v>
      </c>
      <c r="M10">
        <v>0.1203</v>
      </c>
      <c r="N10">
        <v>-2.4318600000000001E-3</v>
      </c>
      <c r="O10">
        <v>0</v>
      </c>
      <c r="P10">
        <v>1</v>
      </c>
      <c r="Q10">
        <v>8.3325268056879906</v>
      </c>
      <c r="R10">
        <v>2.56553203053253</v>
      </c>
      <c r="S10">
        <v>9.1</v>
      </c>
    </row>
    <row r="11" spans="1:19" x14ac:dyDescent="0.3">
      <c r="A11" s="3" t="s">
        <v>3</v>
      </c>
      <c r="B11" s="3" t="s">
        <v>1</v>
      </c>
      <c r="C11" s="3" t="s">
        <v>6</v>
      </c>
      <c r="D11" s="3">
        <v>1.4</v>
      </c>
      <c r="E11" s="3">
        <v>1734675309.4760699</v>
      </c>
      <c r="F11" s="4">
        <f t="shared" si="0"/>
        <v>45646.260526343402</v>
      </c>
      <c r="G11" s="3">
        <v>8.9629999999999992</v>
      </c>
      <c r="H11" s="3">
        <v>1734678331.6730599</v>
      </c>
      <c r="I11" s="3">
        <v>8.9589999999999996</v>
      </c>
      <c r="J11" s="3">
        <v>-3.15928588141281E-2</v>
      </c>
      <c r="K11" s="3">
        <v>-0.39643351097144203</v>
      </c>
      <c r="L11" s="3">
        <v>-0.42878848999999902</v>
      </c>
      <c r="M11" s="3">
        <v>-0.38499999000000001</v>
      </c>
      <c r="N11" s="3">
        <v>-4.3788500000000001E-2</v>
      </c>
      <c r="O11" s="3">
        <v>0</v>
      </c>
      <c r="P11" s="3">
        <v>5</v>
      </c>
      <c r="Q11" s="3">
        <v>7.9360932947165503</v>
      </c>
      <c r="R11" s="3">
        <v>2.1690985195610901</v>
      </c>
      <c r="S11" s="3">
        <v>8.9499999999999993</v>
      </c>
    </row>
    <row r="12" spans="1:19" x14ac:dyDescent="0.3">
      <c r="A12" t="s">
        <v>3</v>
      </c>
      <c r="B12" t="s">
        <v>4</v>
      </c>
      <c r="C12" t="s">
        <v>2</v>
      </c>
      <c r="D12">
        <v>1.3</v>
      </c>
      <c r="E12">
        <v>1734680116.2060599</v>
      </c>
      <c r="F12" s="1">
        <f t="shared" si="0"/>
        <v>45646.316159792361</v>
      </c>
      <c r="G12">
        <v>8.9369999999999994</v>
      </c>
      <c r="H12">
        <v>1734681330.8441401</v>
      </c>
      <c r="I12">
        <v>8.8480000000000008</v>
      </c>
      <c r="J12">
        <v>9.9585990824659996E-3</v>
      </c>
      <c r="K12">
        <v>0.115699999999998</v>
      </c>
      <c r="L12">
        <v>0.11339952</v>
      </c>
      <c r="M12">
        <v>0.1157</v>
      </c>
      <c r="N12">
        <v>-2.3004800000000001E-3</v>
      </c>
      <c r="O12">
        <v>0</v>
      </c>
      <c r="P12">
        <v>1</v>
      </c>
      <c r="Q12">
        <v>8.0517932947165498</v>
      </c>
      <c r="R12">
        <v>2.28479851956109</v>
      </c>
      <c r="S12">
        <v>8.7799999999999994</v>
      </c>
    </row>
    <row r="13" spans="1:19" x14ac:dyDescent="0.3">
      <c r="A13" t="s">
        <v>5</v>
      </c>
      <c r="B13" t="s">
        <v>4</v>
      </c>
      <c r="C13" t="s">
        <v>10</v>
      </c>
      <c r="D13">
        <v>5.7</v>
      </c>
      <c r="E13">
        <v>1734679212.4749801</v>
      </c>
      <c r="F13" s="1">
        <f t="shared" si="0"/>
        <v>45646.305699941899</v>
      </c>
      <c r="G13">
        <v>2.0882999999999998</v>
      </c>
      <c r="H13">
        <v>1734682028.5673399</v>
      </c>
      <c r="I13">
        <v>2.0468999999999999</v>
      </c>
      <c r="J13">
        <v>1.00084610727828E-2</v>
      </c>
      <c r="K13">
        <v>0.11913381477226601</v>
      </c>
      <c r="L13">
        <v>0.11424054</v>
      </c>
      <c r="M13">
        <v>0.12767999999999999</v>
      </c>
      <c r="N13">
        <v>-1.4236769999999999E-2</v>
      </c>
      <c r="O13">
        <v>7.9730999999999997E-4</v>
      </c>
      <c r="P13">
        <v>2</v>
      </c>
      <c r="Q13">
        <v>8.1709271094888098</v>
      </c>
      <c r="R13">
        <v>2.4039323343333501</v>
      </c>
      <c r="S13">
        <v>8.89</v>
      </c>
    </row>
    <row r="14" spans="1:19" x14ac:dyDescent="0.3">
      <c r="A14" t="s">
        <v>7</v>
      </c>
      <c r="B14" t="s">
        <v>4</v>
      </c>
      <c r="C14" t="s">
        <v>10</v>
      </c>
      <c r="D14">
        <v>29</v>
      </c>
      <c r="E14">
        <v>1734679232.6279199</v>
      </c>
      <c r="F14" s="1">
        <f t="shared" si="0"/>
        <v>45646.305933193522</v>
      </c>
      <c r="G14">
        <v>0.40910999999999997</v>
      </c>
      <c r="H14">
        <v>1734682117.3220201</v>
      </c>
      <c r="I14">
        <v>0.40051999999999999</v>
      </c>
      <c r="J14">
        <v>1.0010985481644899E-2</v>
      </c>
      <c r="K14">
        <v>0.118772233841477</v>
      </c>
      <c r="L14">
        <v>0.11383037</v>
      </c>
      <c r="M14">
        <v>0.12701999999999999</v>
      </c>
      <c r="N14">
        <v>-1.4187200000000001E-2</v>
      </c>
      <c r="O14">
        <v>9.9756999999999992E-4</v>
      </c>
      <c r="P14">
        <v>2</v>
      </c>
      <c r="Q14">
        <v>8.2896993433302892</v>
      </c>
      <c r="R14">
        <v>2.5227045681748299</v>
      </c>
      <c r="S14">
        <v>9.1300000000000008</v>
      </c>
    </row>
    <row r="15" spans="1:19" x14ac:dyDescent="0.3">
      <c r="A15" t="s">
        <v>9</v>
      </c>
      <c r="B15" t="s">
        <v>4</v>
      </c>
      <c r="C15" t="s">
        <v>10</v>
      </c>
      <c r="D15">
        <v>543</v>
      </c>
      <c r="E15">
        <v>1734679252.2871101</v>
      </c>
      <c r="F15" s="1">
        <f t="shared" si="0"/>
        <v>45646.306160730441</v>
      </c>
      <c r="G15">
        <v>2.1866E-2</v>
      </c>
      <c r="H15">
        <v>1734682284.50263</v>
      </c>
      <c r="I15">
        <v>2.1409000000000001E-2</v>
      </c>
      <c r="J15">
        <v>1.00045047815241E-2</v>
      </c>
      <c r="K15">
        <v>0.11878586634317399</v>
      </c>
      <c r="L15">
        <v>0.11405264999999901</v>
      </c>
      <c r="M15">
        <v>0.12706200000000001</v>
      </c>
      <c r="N15">
        <v>-1.4198240000000001E-2</v>
      </c>
      <c r="O15">
        <v>1.18889E-3</v>
      </c>
      <c r="P15">
        <v>2</v>
      </c>
      <c r="Q15">
        <v>8.4084852096734597</v>
      </c>
      <c r="R15">
        <v>2.6414904345180101</v>
      </c>
      <c r="S15">
        <v>9.3800000000000008</v>
      </c>
    </row>
    <row r="16" spans="1:19" x14ac:dyDescent="0.3">
      <c r="A16" t="s">
        <v>0</v>
      </c>
      <c r="B16" t="s">
        <v>4</v>
      </c>
      <c r="C16" t="s">
        <v>2</v>
      </c>
      <c r="D16">
        <v>29.8</v>
      </c>
      <c r="E16">
        <v>1734682812.0873699</v>
      </c>
      <c r="F16" s="1">
        <f t="shared" si="0"/>
        <v>45646.347362122338</v>
      </c>
      <c r="G16">
        <v>0.4022</v>
      </c>
      <c r="H16">
        <v>1734682943.92117</v>
      </c>
      <c r="I16">
        <v>0.3982</v>
      </c>
      <c r="J16">
        <v>9.9453008453505801E-3</v>
      </c>
      <c r="K16">
        <v>0.1192</v>
      </c>
      <c r="L16">
        <v>0.11682673</v>
      </c>
      <c r="M16">
        <v>0.1192</v>
      </c>
      <c r="N16">
        <v>-2.3732699999999998E-3</v>
      </c>
      <c r="O16">
        <v>0</v>
      </c>
      <c r="P16">
        <v>1</v>
      </c>
      <c r="Q16">
        <v>8.5276852096734608</v>
      </c>
      <c r="R16">
        <v>2.7606904345180099</v>
      </c>
      <c r="S16">
        <v>9.48</v>
      </c>
    </row>
    <row r="17" spans="1:19" x14ac:dyDescent="0.3">
      <c r="A17" t="s">
        <v>3</v>
      </c>
      <c r="B17" t="s">
        <v>4</v>
      </c>
      <c r="C17" t="s">
        <v>2</v>
      </c>
      <c r="D17">
        <v>1.4</v>
      </c>
      <c r="E17">
        <v>1734682832.2453499</v>
      </c>
      <c r="F17" s="1">
        <f t="shared" si="0"/>
        <v>45646.347595432293</v>
      </c>
      <c r="G17">
        <v>8.6259999999999994</v>
      </c>
      <c r="H17">
        <v>1734683453.3886299</v>
      </c>
      <c r="I17">
        <v>8.5399999999999991</v>
      </c>
      <c r="J17">
        <v>9.9698585671226803E-3</v>
      </c>
      <c r="K17">
        <v>0.12039999999999999</v>
      </c>
      <c r="L17">
        <v>0.1180088</v>
      </c>
      <c r="M17">
        <v>0.12039999999999999</v>
      </c>
      <c r="N17">
        <v>-2.3912E-3</v>
      </c>
      <c r="O17">
        <v>0</v>
      </c>
      <c r="P17">
        <v>1</v>
      </c>
      <c r="Q17">
        <v>8.6480852096734608</v>
      </c>
      <c r="R17">
        <v>2.8810904345180099</v>
      </c>
      <c r="S17">
        <v>9.6</v>
      </c>
    </row>
    <row r="18" spans="1:19" x14ac:dyDescent="0.3">
      <c r="A18" t="s">
        <v>7</v>
      </c>
      <c r="B18" t="s">
        <v>4</v>
      </c>
      <c r="C18" t="s">
        <v>2</v>
      </c>
      <c r="D18">
        <v>30</v>
      </c>
      <c r="E18">
        <v>1734682852.69926</v>
      </c>
      <c r="F18" s="1">
        <f t="shared" si="0"/>
        <v>45646.347832167361</v>
      </c>
      <c r="G18">
        <v>0.39622000000000002</v>
      </c>
      <c r="H18">
        <v>1734683884.0996101</v>
      </c>
      <c r="I18">
        <v>0.39226</v>
      </c>
      <c r="J18">
        <v>9.9944475291505203E-3</v>
      </c>
      <c r="K18">
        <v>0.1188</v>
      </c>
      <c r="L18">
        <v>0.11644644</v>
      </c>
      <c r="M18">
        <v>0.1188</v>
      </c>
      <c r="N18">
        <v>-2.3535600000000002E-3</v>
      </c>
      <c r="O18">
        <v>0</v>
      </c>
      <c r="P18">
        <v>1</v>
      </c>
      <c r="Q18">
        <v>8.7668852096734593</v>
      </c>
      <c r="R18">
        <v>2.9998904345180102</v>
      </c>
      <c r="S18">
        <v>9.7100000000000009</v>
      </c>
    </row>
    <row r="19" spans="1:19" x14ac:dyDescent="0.3">
      <c r="A19" t="s">
        <v>0</v>
      </c>
      <c r="B19" t="s">
        <v>4</v>
      </c>
      <c r="C19" t="s">
        <v>2</v>
      </c>
      <c r="D19">
        <v>30.5</v>
      </c>
      <c r="E19">
        <v>1734684013.00717</v>
      </c>
      <c r="F19" s="1">
        <f t="shared" si="0"/>
        <v>45646.361261657061</v>
      </c>
      <c r="G19">
        <v>0.39360000000000001</v>
      </c>
      <c r="H19">
        <v>1734684773.03685</v>
      </c>
      <c r="I19">
        <v>0.38969999999999999</v>
      </c>
      <c r="J19">
        <v>9.9085365853658902E-3</v>
      </c>
      <c r="K19">
        <v>0.11895</v>
      </c>
      <c r="L19">
        <v>0.11657283</v>
      </c>
      <c r="M19">
        <v>0.11895</v>
      </c>
      <c r="N19">
        <v>-2.3771700000000001E-3</v>
      </c>
      <c r="O19">
        <v>0</v>
      </c>
      <c r="P19">
        <v>1</v>
      </c>
      <c r="Q19">
        <v>8.8858352096734592</v>
      </c>
      <c r="R19">
        <v>3.1188404345180101</v>
      </c>
      <c r="S19">
        <v>9.81</v>
      </c>
    </row>
    <row r="20" spans="1:19" x14ac:dyDescent="0.3">
      <c r="A20" t="s">
        <v>3</v>
      </c>
      <c r="B20" t="s">
        <v>4</v>
      </c>
      <c r="C20" t="s">
        <v>2</v>
      </c>
      <c r="D20">
        <v>1.4</v>
      </c>
      <c r="E20">
        <v>1734684032.7353599</v>
      </c>
      <c r="F20" s="1">
        <f t="shared" si="0"/>
        <v>45646.361489992589</v>
      </c>
      <c r="G20">
        <v>8.5169999999999995</v>
      </c>
      <c r="H20">
        <v>1734684861.83161</v>
      </c>
      <c r="I20">
        <v>8.4320000000000004</v>
      </c>
      <c r="J20">
        <v>9.9800399201595696E-3</v>
      </c>
      <c r="K20">
        <v>0.118999999999998</v>
      </c>
      <c r="L20">
        <v>0.11663904</v>
      </c>
      <c r="M20">
        <v>0.11899999999999999</v>
      </c>
      <c r="N20">
        <v>-2.3609600000000001E-3</v>
      </c>
      <c r="O20">
        <v>0</v>
      </c>
      <c r="P20">
        <v>2</v>
      </c>
      <c r="Q20">
        <v>9.0048352096734607</v>
      </c>
      <c r="R20">
        <v>3.2378404345180098</v>
      </c>
      <c r="S20">
        <v>9.93</v>
      </c>
    </row>
    <row r="21" spans="1:19" x14ac:dyDescent="0.3">
      <c r="A21" t="s">
        <v>7</v>
      </c>
      <c r="B21" t="s">
        <v>4</v>
      </c>
      <c r="C21" t="s">
        <v>2</v>
      </c>
      <c r="D21">
        <v>31</v>
      </c>
      <c r="E21">
        <v>1734684052.91904</v>
      </c>
      <c r="F21" s="1">
        <f t="shared" si="0"/>
        <v>45646.361723599999</v>
      </c>
      <c r="G21">
        <v>0.39051000000000002</v>
      </c>
      <c r="H21">
        <v>1734684957.49508</v>
      </c>
      <c r="I21">
        <v>0.3866</v>
      </c>
      <c r="J21">
        <v>1.0012547694041101E-2</v>
      </c>
      <c r="K21">
        <v>0.12121</v>
      </c>
      <c r="L21">
        <v>0.11881308</v>
      </c>
      <c r="M21">
        <v>0.12121</v>
      </c>
      <c r="N21">
        <v>-2.3969199999999999E-3</v>
      </c>
      <c r="O21">
        <v>0</v>
      </c>
      <c r="P21">
        <v>1</v>
      </c>
      <c r="Q21">
        <v>9.1260452096734603</v>
      </c>
      <c r="R21">
        <v>3.3590504345180099</v>
      </c>
      <c r="S21">
        <v>10.039999999999999</v>
      </c>
    </row>
    <row r="22" spans="1:19" x14ac:dyDescent="0.3">
      <c r="A22" t="s">
        <v>9</v>
      </c>
      <c r="B22" t="s">
        <v>4</v>
      </c>
      <c r="C22" t="s">
        <v>2</v>
      </c>
      <c r="D22">
        <v>576</v>
      </c>
      <c r="E22">
        <v>1734684933.1166401</v>
      </c>
      <c r="F22" s="1">
        <f t="shared" si="0"/>
        <v>45646.371911072223</v>
      </c>
      <c r="G22">
        <v>2.0834999999999999E-2</v>
      </c>
      <c r="H22">
        <v>1734685051.3305199</v>
      </c>
      <c r="I22">
        <v>2.0627E-2</v>
      </c>
      <c r="J22">
        <v>9.9832013438924793E-3</v>
      </c>
      <c r="K22">
        <v>0.119807999999999</v>
      </c>
      <c r="L22">
        <v>0.11743176999999901</v>
      </c>
      <c r="M22">
        <v>0.119808</v>
      </c>
      <c r="N22">
        <v>-2.37623E-3</v>
      </c>
      <c r="O22">
        <v>0</v>
      </c>
      <c r="P22">
        <v>1</v>
      </c>
      <c r="Q22">
        <v>9.2458532096734594</v>
      </c>
      <c r="R22">
        <v>3.4788584345180098</v>
      </c>
      <c r="S22">
        <v>10.27</v>
      </c>
    </row>
    <row r="23" spans="1:19" x14ac:dyDescent="0.3">
      <c r="A23" t="s">
        <v>5</v>
      </c>
      <c r="B23" t="s">
        <v>4</v>
      </c>
      <c r="C23" t="s">
        <v>2</v>
      </c>
      <c r="D23">
        <v>6.3</v>
      </c>
      <c r="E23">
        <v>1734684912.7270701</v>
      </c>
      <c r="F23" s="1">
        <f t="shared" si="0"/>
        <v>45646.371675081828</v>
      </c>
      <c r="G23">
        <v>1.9135</v>
      </c>
      <c r="H23">
        <v>1734685068.15153</v>
      </c>
      <c r="I23">
        <v>1.8944000000000001</v>
      </c>
      <c r="J23">
        <v>9.9817089103736E-3</v>
      </c>
      <c r="K23">
        <v>0.12032999999999899</v>
      </c>
      <c r="L23">
        <v>0.11794306</v>
      </c>
      <c r="M23">
        <v>0.12033000000000001</v>
      </c>
      <c r="N23">
        <v>-2.3869400000000002E-3</v>
      </c>
      <c r="O23">
        <v>0</v>
      </c>
      <c r="P23">
        <v>1</v>
      </c>
      <c r="Q23">
        <v>9.3661832096734603</v>
      </c>
      <c r="R23">
        <v>3.5991884345180098</v>
      </c>
      <c r="S23">
        <v>10.27</v>
      </c>
    </row>
    <row r="24" spans="1:19" x14ac:dyDescent="0.3">
      <c r="A24" t="s">
        <v>9</v>
      </c>
      <c r="B24" t="s">
        <v>4</v>
      </c>
      <c r="C24" t="s">
        <v>10</v>
      </c>
      <c r="D24">
        <v>589</v>
      </c>
      <c r="E24">
        <v>1734687971.6894801</v>
      </c>
      <c r="F24" s="1">
        <f t="shared" si="0"/>
        <v>45646.407079739351</v>
      </c>
      <c r="G24">
        <v>2.0157000000000001E-2</v>
      </c>
      <c r="H24">
        <v>1734689566.2706699</v>
      </c>
      <c r="I24">
        <v>1.9737999999999999E-2</v>
      </c>
      <c r="J24">
        <v>1.00162929841609E-2</v>
      </c>
      <c r="K24">
        <v>0.11891816801454</v>
      </c>
      <c r="L24">
        <v>0.11302640999999999</v>
      </c>
      <c r="M24">
        <v>0.127224</v>
      </c>
      <c r="N24">
        <v>-1.419759E-2</v>
      </c>
      <c r="O24">
        <v>0</v>
      </c>
      <c r="P24">
        <v>2</v>
      </c>
      <c r="Q24">
        <v>9.4851013776880002</v>
      </c>
      <c r="R24">
        <v>3.7181066025325502</v>
      </c>
      <c r="S24">
        <v>9.9</v>
      </c>
    </row>
    <row r="25" spans="1:19" x14ac:dyDescent="0.3">
      <c r="A25" t="s">
        <v>7</v>
      </c>
      <c r="B25" t="s">
        <v>4</v>
      </c>
      <c r="C25" t="s">
        <v>10</v>
      </c>
      <c r="D25">
        <v>31</v>
      </c>
      <c r="E25">
        <v>1734687952.0334899</v>
      </c>
      <c r="F25" s="1">
        <f t="shared" si="0"/>
        <v>45646.406852239466</v>
      </c>
      <c r="G25">
        <v>0.38425969999999998</v>
      </c>
      <c r="H25">
        <v>1734689596.2800801</v>
      </c>
      <c r="I25">
        <v>0.37619999999999998</v>
      </c>
      <c r="J25">
        <v>1.0075436113806501E-2</v>
      </c>
      <c r="K25">
        <v>0.120019105812274</v>
      </c>
      <c r="L25">
        <v>0.11407551</v>
      </c>
      <c r="M25">
        <v>0.12831999999999999</v>
      </c>
      <c r="N25">
        <v>-1.424449E-2</v>
      </c>
      <c r="O25">
        <v>0</v>
      </c>
      <c r="P25">
        <v>3</v>
      </c>
      <c r="Q25">
        <v>9.6051204835002792</v>
      </c>
      <c r="R25">
        <v>3.8381257083448199</v>
      </c>
      <c r="S25">
        <v>10.39</v>
      </c>
    </row>
    <row r="26" spans="1:19" x14ac:dyDescent="0.3">
      <c r="A26" t="s">
        <v>5</v>
      </c>
      <c r="B26" t="s">
        <v>4</v>
      </c>
      <c r="C26" t="s">
        <v>10</v>
      </c>
      <c r="D26">
        <v>6.4</v>
      </c>
      <c r="E26">
        <v>1734687910.7084701</v>
      </c>
      <c r="F26" s="1">
        <f t="shared" si="0"/>
        <v>45646.406373940627</v>
      </c>
      <c r="G26">
        <v>1.8615999999999999</v>
      </c>
      <c r="H26">
        <v>1734689617.24318</v>
      </c>
      <c r="I26">
        <v>1.8225</v>
      </c>
      <c r="J26">
        <v>9.9950159547719502E-3</v>
      </c>
      <c r="K26">
        <v>0.119083018888982</v>
      </c>
      <c r="L26">
        <v>0.11311296</v>
      </c>
      <c r="M26">
        <v>0.12736</v>
      </c>
      <c r="N26">
        <v>-1.42470399999999E-2</v>
      </c>
      <c r="O26">
        <v>0</v>
      </c>
      <c r="P26">
        <v>2</v>
      </c>
      <c r="Q26">
        <v>9.7242035023892601</v>
      </c>
      <c r="R26">
        <v>3.9572087272337999</v>
      </c>
      <c r="S26">
        <v>10.39</v>
      </c>
    </row>
    <row r="27" spans="1:19" x14ac:dyDescent="0.3">
      <c r="A27" t="s">
        <v>3</v>
      </c>
      <c r="B27" t="s">
        <v>4</v>
      </c>
      <c r="C27" t="s">
        <v>10</v>
      </c>
      <c r="D27">
        <v>1.4</v>
      </c>
      <c r="E27">
        <v>1734687931.1136601</v>
      </c>
      <c r="F27" s="1">
        <f t="shared" si="0"/>
        <v>45646.406610111808</v>
      </c>
      <c r="G27">
        <v>8.3170000000000002</v>
      </c>
      <c r="H27">
        <v>1734690252.20344</v>
      </c>
      <c r="I27">
        <v>8.1389999999999993</v>
      </c>
      <c r="J27">
        <v>1.00142723478203E-2</v>
      </c>
      <c r="K27">
        <v>0.11660418436355</v>
      </c>
      <c r="L27">
        <v>0.11067729</v>
      </c>
      <c r="M27">
        <v>0.1246</v>
      </c>
      <c r="N27">
        <v>-1.392271E-2</v>
      </c>
      <c r="O27">
        <v>0</v>
      </c>
      <c r="P27">
        <v>2</v>
      </c>
      <c r="Q27">
        <v>9.8408076867528091</v>
      </c>
      <c r="R27">
        <v>4.0738129115973596</v>
      </c>
      <c r="S27">
        <v>10.64</v>
      </c>
    </row>
    <row r="28" spans="1:19" x14ac:dyDescent="0.3">
      <c r="A28" s="3" t="s">
        <v>7</v>
      </c>
      <c r="B28" s="3" t="s">
        <v>4</v>
      </c>
      <c r="C28" s="3" t="s">
        <v>6</v>
      </c>
      <c r="D28" s="3">
        <v>31</v>
      </c>
      <c r="E28" s="3">
        <v>1734690614.42029</v>
      </c>
      <c r="F28" s="4">
        <f t="shared" si="0"/>
        <v>45646.437666901504</v>
      </c>
      <c r="G28" s="3">
        <v>0.37701240000000003</v>
      </c>
      <c r="H28" s="3">
        <v>1734691778.3120301</v>
      </c>
      <c r="I28" s="3">
        <v>0.37802000000000002</v>
      </c>
      <c r="J28" s="3">
        <v>-2.93507850988814E-2</v>
      </c>
      <c r="K28" s="3">
        <v>-0.343033907892419</v>
      </c>
      <c r="L28" s="3">
        <v>-0.43052944999999998</v>
      </c>
      <c r="M28" s="3">
        <v>-0.38947999</v>
      </c>
      <c r="N28" s="3">
        <v>-4.1049459999999899E-2</v>
      </c>
      <c r="O28" s="3">
        <v>0</v>
      </c>
      <c r="P28" s="3">
        <v>6</v>
      </c>
      <c r="Q28" s="3">
        <v>9.49777377886039</v>
      </c>
      <c r="R28" s="3">
        <v>3.73077900370494</v>
      </c>
      <c r="S28" s="3">
        <v>9.5</v>
      </c>
    </row>
    <row r="29" spans="1:19" x14ac:dyDescent="0.3">
      <c r="A29" t="s">
        <v>9</v>
      </c>
      <c r="B29" t="s">
        <v>1</v>
      </c>
      <c r="C29" t="s">
        <v>6</v>
      </c>
      <c r="D29">
        <v>619</v>
      </c>
      <c r="E29">
        <v>1734690312.0913799</v>
      </c>
      <c r="F29" s="1">
        <f t="shared" si="0"/>
        <v>45646.434167724306</v>
      </c>
      <c r="G29">
        <v>1.9554999999999999E-2</v>
      </c>
      <c r="H29">
        <v>1734692549.68646</v>
      </c>
      <c r="I29">
        <v>1.9560999999999999E-2</v>
      </c>
      <c r="J29">
        <v>-3.2515836682321601E-2</v>
      </c>
      <c r="K29">
        <v>-0.39358940833381201</v>
      </c>
      <c r="L29">
        <v>-0.40684672</v>
      </c>
      <c r="M29">
        <v>-0.36459100999999999</v>
      </c>
      <c r="N29">
        <v>-4.2255710000000002E-2</v>
      </c>
      <c r="O29">
        <v>0</v>
      </c>
      <c r="P29">
        <v>4</v>
      </c>
      <c r="Q29">
        <v>9.1041843705265801</v>
      </c>
      <c r="R29">
        <v>3.3371895953711199</v>
      </c>
      <c r="S29">
        <v>9.2200000000000006</v>
      </c>
    </row>
    <row r="30" spans="1:19" x14ac:dyDescent="0.3">
      <c r="A30" s="3" t="s">
        <v>5</v>
      </c>
      <c r="B30" s="3" t="s">
        <v>1</v>
      </c>
      <c r="C30" s="3" t="s">
        <v>6</v>
      </c>
      <c r="D30" s="3">
        <v>6.6</v>
      </c>
      <c r="E30" s="3">
        <v>1734690910.7376299</v>
      </c>
      <c r="F30" s="4">
        <f t="shared" si="0"/>
        <v>45646.441096500348</v>
      </c>
      <c r="G30" s="3">
        <v>1.8408</v>
      </c>
      <c r="H30" s="3">
        <v>1734692827.90411</v>
      </c>
      <c r="I30" s="3">
        <v>1.8404</v>
      </c>
      <c r="J30" s="3">
        <v>-3.1821397631499097E-2</v>
      </c>
      <c r="K30" s="3">
        <v>-0.38660706981641901</v>
      </c>
      <c r="L30" s="3">
        <v>-0.41242125000000002</v>
      </c>
      <c r="M30" s="3">
        <v>-0.37001999999999902</v>
      </c>
      <c r="N30" s="3">
        <v>-4.2401250000000001E-2</v>
      </c>
      <c r="O30" s="3">
        <v>0</v>
      </c>
      <c r="P30" s="3">
        <v>4</v>
      </c>
      <c r="Q30" s="3">
        <v>8.7175773007101593</v>
      </c>
      <c r="R30" s="3">
        <v>2.9505825255547</v>
      </c>
      <c r="S30" s="3">
        <v>9.08</v>
      </c>
    </row>
    <row r="31" spans="1:19" x14ac:dyDescent="0.3">
      <c r="A31" t="s">
        <v>5</v>
      </c>
      <c r="B31" t="s">
        <v>4</v>
      </c>
      <c r="C31" t="s">
        <v>2</v>
      </c>
      <c r="D31">
        <v>6.6</v>
      </c>
      <c r="E31">
        <v>1734693915.0864301</v>
      </c>
      <c r="F31" s="1">
        <f t="shared" si="0"/>
        <v>45646.475869055903</v>
      </c>
      <c r="G31">
        <v>1.8180000000000001</v>
      </c>
      <c r="H31">
        <v>1734694065.0181799</v>
      </c>
      <c r="I31">
        <v>1.7998000000000001</v>
      </c>
      <c r="J31">
        <v>1.001100110011E-2</v>
      </c>
      <c r="K31">
        <v>0.12011999999999901</v>
      </c>
      <c r="L31">
        <v>0.11774427</v>
      </c>
      <c r="M31">
        <v>0.12012</v>
      </c>
      <c r="N31">
        <v>-2.3757299999999999E-3</v>
      </c>
      <c r="O31">
        <v>0</v>
      </c>
      <c r="P31">
        <v>1</v>
      </c>
      <c r="Q31">
        <v>8.8376973007101594</v>
      </c>
      <c r="R31">
        <v>3.0707025255547</v>
      </c>
      <c r="S31">
        <v>9.18</v>
      </c>
    </row>
    <row r="32" spans="1:19" x14ac:dyDescent="0.3">
      <c r="A32" t="s">
        <v>7</v>
      </c>
      <c r="B32" t="s">
        <v>4</v>
      </c>
      <c r="C32" t="s">
        <v>2</v>
      </c>
      <c r="D32">
        <v>32</v>
      </c>
      <c r="E32">
        <v>1734693935.0737901</v>
      </c>
      <c r="F32" s="1">
        <f t="shared" si="0"/>
        <v>45646.47610039109</v>
      </c>
      <c r="G32">
        <v>0.37520999999999999</v>
      </c>
      <c r="H32">
        <v>1734694428.1063299</v>
      </c>
      <c r="I32">
        <v>0.37146000000000001</v>
      </c>
      <c r="J32">
        <v>9.9944031342447497E-3</v>
      </c>
      <c r="K32">
        <v>0.119999999999999</v>
      </c>
      <c r="L32">
        <v>0.117622659999999</v>
      </c>
      <c r="M32">
        <v>0.12</v>
      </c>
      <c r="N32">
        <v>-2.3773399999999999E-3</v>
      </c>
      <c r="O32">
        <v>0</v>
      </c>
      <c r="P32">
        <v>1</v>
      </c>
      <c r="Q32">
        <v>8.9576973007101603</v>
      </c>
      <c r="R32">
        <v>3.1907025255547001</v>
      </c>
      <c r="S32">
        <v>9.41</v>
      </c>
    </row>
    <row r="33" spans="1:19" x14ac:dyDescent="0.3">
      <c r="A33" t="s">
        <v>9</v>
      </c>
      <c r="B33" t="s">
        <v>4</v>
      </c>
      <c r="C33" t="s">
        <v>2</v>
      </c>
      <c r="D33">
        <v>624</v>
      </c>
      <c r="E33">
        <v>1734693954.7437501</v>
      </c>
      <c r="F33" s="1">
        <f t="shared" si="0"/>
        <v>45646.476328052668</v>
      </c>
      <c r="G33">
        <v>1.9231999999999999E-2</v>
      </c>
      <c r="H33">
        <v>1734694453.5073099</v>
      </c>
      <c r="I33">
        <v>1.9040000000000001E-2</v>
      </c>
      <c r="J33">
        <v>9.9833610648917201E-3</v>
      </c>
      <c r="K33">
        <v>0.119807999999998</v>
      </c>
      <c r="L33">
        <v>0.11732881000000001</v>
      </c>
      <c r="M33">
        <v>0.11970500000000001</v>
      </c>
      <c r="N33">
        <v>-2.3761899999999998E-3</v>
      </c>
      <c r="O33">
        <v>0</v>
      </c>
      <c r="P33">
        <v>1</v>
      </c>
      <c r="Q33">
        <v>9.0775053007101594</v>
      </c>
      <c r="R33">
        <v>3.3105105255547</v>
      </c>
      <c r="S33">
        <v>9.41</v>
      </c>
    </row>
    <row r="34" spans="1:19" x14ac:dyDescent="0.3">
      <c r="A34" t="s">
        <v>3</v>
      </c>
      <c r="B34" t="s">
        <v>4</v>
      </c>
      <c r="C34" t="s">
        <v>10</v>
      </c>
      <c r="D34">
        <v>1.5</v>
      </c>
      <c r="E34">
        <v>1734690930.4347899</v>
      </c>
      <c r="F34" s="1">
        <f t="shared" si="0"/>
        <v>45646.441324476735</v>
      </c>
      <c r="G34">
        <v>8.1929999999999996</v>
      </c>
      <c r="H34">
        <v>1734694474.3193901</v>
      </c>
      <c r="I34">
        <v>7.9249999999999998</v>
      </c>
      <c r="J34">
        <v>9.9847834047092493E-3</v>
      </c>
      <c r="K34">
        <v>0.122707995652174</v>
      </c>
      <c r="L34">
        <v>0.11391301</v>
      </c>
      <c r="M34">
        <v>0.14099999999999999</v>
      </c>
      <c r="N34">
        <v>-2.7086989999999998E-2</v>
      </c>
      <c r="O34">
        <v>0</v>
      </c>
      <c r="P34">
        <v>3</v>
      </c>
      <c r="Q34">
        <v>9.20021329636233</v>
      </c>
      <c r="R34">
        <v>3.43321852120688</v>
      </c>
      <c r="S34">
        <v>9.81</v>
      </c>
    </row>
    <row r="35" spans="1:19" x14ac:dyDescent="0.3">
      <c r="A35" s="3" t="s">
        <v>7</v>
      </c>
      <c r="B35" s="3" t="s">
        <v>1</v>
      </c>
      <c r="C35" s="3" t="s">
        <v>6</v>
      </c>
      <c r="D35" s="3">
        <v>33</v>
      </c>
      <c r="E35" s="3">
        <v>1734695134.1627901</v>
      </c>
      <c r="F35" s="4">
        <f t="shared" si="0"/>
        <v>45646.489978735997</v>
      </c>
      <c r="G35" s="3">
        <v>0.36989319999999998</v>
      </c>
      <c r="H35" s="3">
        <v>1734695441.4611399</v>
      </c>
      <c r="I35" s="3">
        <v>0.36782999999999999</v>
      </c>
      <c r="J35" s="3">
        <v>-2.6072899600166701E-2</v>
      </c>
      <c r="K35" s="3">
        <v>-0.318258212790685</v>
      </c>
      <c r="L35" s="3">
        <v>-0.47504396999999898</v>
      </c>
      <c r="M35" s="3">
        <v>-0.43247999999999998</v>
      </c>
      <c r="N35" s="3">
        <v>-4.256397E-2</v>
      </c>
      <c r="O35" s="3">
        <v>0</v>
      </c>
      <c r="P35" s="3">
        <v>4</v>
      </c>
      <c r="Q35" s="3">
        <v>8.8819550835716505</v>
      </c>
      <c r="R35" s="3">
        <v>3.1149603084161899</v>
      </c>
      <c r="S35" s="3">
        <v>9.06</v>
      </c>
    </row>
    <row r="36" spans="1:19" x14ac:dyDescent="0.3">
      <c r="A36" t="s">
        <v>3</v>
      </c>
      <c r="B36" t="s">
        <v>1</v>
      </c>
      <c r="C36" t="s">
        <v>6</v>
      </c>
      <c r="D36">
        <v>1.5</v>
      </c>
      <c r="E36">
        <v>1734695114.3773</v>
      </c>
      <c r="F36" s="1">
        <f t="shared" si="0"/>
        <v>45646.489749737273</v>
      </c>
      <c r="G36">
        <v>7.9725000000000001</v>
      </c>
      <c r="H36">
        <v>1734696880.50107</v>
      </c>
      <c r="I36">
        <v>7.9729999999999999</v>
      </c>
      <c r="J36">
        <v>-3.2522893073664599E-2</v>
      </c>
      <c r="K36">
        <v>-0.388933147544687</v>
      </c>
      <c r="L36">
        <v>-0.40962499000000002</v>
      </c>
      <c r="M36">
        <v>-0.36789999000000001</v>
      </c>
      <c r="N36">
        <v>-4.1724999999999998E-2</v>
      </c>
      <c r="O36">
        <v>0</v>
      </c>
      <c r="P36">
        <v>5</v>
      </c>
      <c r="Q36">
        <v>8.4930219360269597</v>
      </c>
      <c r="R36">
        <v>2.7260271608714999</v>
      </c>
      <c r="S36">
        <v>8.5</v>
      </c>
    </row>
    <row r="37" spans="1:19" x14ac:dyDescent="0.3">
      <c r="A37" t="s">
        <v>3</v>
      </c>
      <c r="B37" t="s">
        <v>1</v>
      </c>
      <c r="C37" t="s">
        <v>2</v>
      </c>
      <c r="D37">
        <v>1.5</v>
      </c>
      <c r="E37">
        <v>1734696916.05633</v>
      </c>
      <c r="F37" s="1">
        <f t="shared" si="0"/>
        <v>45646.510602503819</v>
      </c>
      <c r="G37">
        <v>7.9690000000000003</v>
      </c>
      <c r="H37">
        <v>1734697137.9368601</v>
      </c>
      <c r="I37">
        <v>8.0489999999999995</v>
      </c>
      <c r="J37">
        <v>1.0038900740368799E-2</v>
      </c>
      <c r="K37">
        <v>0.119999999999998</v>
      </c>
      <c r="L37">
        <v>0.117585299999999</v>
      </c>
      <c r="M37">
        <v>0.12</v>
      </c>
      <c r="N37">
        <v>-2.4147000000000001E-3</v>
      </c>
      <c r="O37">
        <v>0</v>
      </c>
      <c r="P37">
        <v>1</v>
      </c>
      <c r="Q37">
        <v>8.6130219360269606</v>
      </c>
      <c r="R37">
        <v>2.8460271608715</v>
      </c>
      <c r="S37">
        <v>8.61</v>
      </c>
    </row>
    <row r="38" spans="1:19" x14ac:dyDescent="0.3">
      <c r="A38" t="s">
        <v>5</v>
      </c>
      <c r="B38" t="s">
        <v>1</v>
      </c>
      <c r="C38" t="s">
        <v>10</v>
      </c>
      <c r="D38">
        <v>6.8</v>
      </c>
      <c r="E38">
        <v>1734696617.6255701</v>
      </c>
      <c r="F38" s="1">
        <f t="shared" si="0"/>
        <v>45646.5071484441</v>
      </c>
      <c r="G38">
        <v>1.7710999999999999</v>
      </c>
      <c r="H38">
        <v>1734697224.5608599</v>
      </c>
      <c r="I38">
        <v>1.8081</v>
      </c>
      <c r="J38">
        <v>9.9962985061532693E-3</v>
      </c>
      <c r="K38">
        <v>0.120390221132886</v>
      </c>
      <c r="L38">
        <v>0.11673751</v>
      </c>
      <c r="M38">
        <v>0.13124</v>
      </c>
      <c r="N38">
        <v>-1.450249E-2</v>
      </c>
      <c r="O38">
        <v>0</v>
      </c>
      <c r="P38">
        <v>2</v>
      </c>
      <c r="Q38">
        <v>8.7334121571598402</v>
      </c>
      <c r="R38">
        <v>2.9664173820043902</v>
      </c>
      <c r="S38">
        <v>9.11</v>
      </c>
    </row>
    <row r="39" spans="1:19" x14ac:dyDescent="0.3">
      <c r="A39" t="s">
        <v>7</v>
      </c>
      <c r="B39" t="s">
        <v>1</v>
      </c>
      <c r="C39" t="s">
        <v>10</v>
      </c>
      <c r="D39">
        <v>33</v>
      </c>
      <c r="E39">
        <v>1734696637.79845</v>
      </c>
      <c r="F39" s="1">
        <f t="shared" si="0"/>
        <v>45646.507381926509</v>
      </c>
      <c r="G39">
        <v>0.3705</v>
      </c>
      <c r="H39">
        <v>1734697245.4614401</v>
      </c>
      <c r="I39">
        <v>0.37825999999999999</v>
      </c>
      <c r="J39">
        <v>1.0002349719067201E-2</v>
      </c>
      <c r="K39">
        <v>0.122293728840176</v>
      </c>
      <c r="L39">
        <v>0.11859699</v>
      </c>
      <c r="M39">
        <v>0.13331999999999999</v>
      </c>
      <c r="N39">
        <v>-1.472301E-2</v>
      </c>
      <c r="O39">
        <v>0</v>
      </c>
      <c r="P39">
        <v>2</v>
      </c>
      <c r="Q39">
        <v>8.8557058860000204</v>
      </c>
      <c r="R39">
        <v>3.0887111108445602</v>
      </c>
      <c r="S39">
        <v>9.36</v>
      </c>
    </row>
    <row r="40" spans="1:19" x14ac:dyDescent="0.3">
      <c r="A40" t="s">
        <v>9</v>
      </c>
      <c r="B40" t="s">
        <v>1</v>
      </c>
      <c r="C40" t="s">
        <v>10</v>
      </c>
      <c r="D40">
        <v>641</v>
      </c>
      <c r="E40">
        <v>1734696657.4542301</v>
      </c>
      <c r="F40" s="1">
        <f t="shared" si="0"/>
        <v>45646.507609423963</v>
      </c>
      <c r="G40">
        <v>1.8905999999999999E-2</v>
      </c>
      <c r="H40">
        <v>1734697266.3685901</v>
      </c>
      <c r="I40">
        <v>1.9300000000000001E-2</v>
      </c>
      <c r="J40">
        <v>1.00500951058648E-2</v>
      </c>
      <c r="K40">
        <v>0.12179454986381801</v>
      </c>
      <c r="L40">
        <v>0.11760677999999999</v>
      </c>
      <c r="M40">
        <v>0.13219999999999901</v>
      </c>
      <c r="N40">
        <v>-1.459322E-2</v>
      </c>
      <c r="O40">
        <v>0</v>
      </c>
      <c r="P40">
        <v>3</v>
      </c>
      <c r="Q40">
        <v>8.9775004358638402</v>
      </c>
      <c r="R40">
        <v>3.2105056607083799</v>
      </c>
      <c r="S40">
        <v>9.36</v>
      </c>
    </row>
    <row r="41" spans="1:19" x14ac:dyDescent="0.3">
      <c r="A41" t="s">
        <v>7</v>
      </c>
      <c r="B41" t="s">
        <v>1</v>
      </c>
      <c r="C41" t="s">
        <v>2</v>
      </c>
      <c r="D41">
        <v>31</v>
      </c>
      <c r="E41">
        <v>1734698432.4410901</v>
      </c>
      <c r="F41" s="1">
        <f t="shared" si="0"/>
        <v>45646.528153253355</v>
      </c>
      <c r="G41">
        <v>0.38547999999999999</v>
      </c>
      <c r="H41">
        <v>1734698953.9829199</v>
      </c>
      <c r="I41">
        <v>0.38933000000000001</v>
      </c>
      <c r="J41">
        <v>9.9875479921137794E-3</v>
      </c>
      <c r="K41">
        <v>0.11935</v>
      </c>
      <c r="L41">
        <v>0.11693616</v>
      </c>
      <c r="M41">
        <v>0.11935</v>
      </c>
      <c r="N41">
        <v>-2.41384E-3</v>
      </c>
      <c r="O41">
        <v>0</v>
      </c>
      <c r="P41">
        <v>1</v>
      </c>
      <c r="Q41">
        <v>9.0968504358638391</v>
      </c>
      <c r="R41">
        <v>3.3298556607083798</v>
      </c>
      <c r="S41">
        <v>9.4700000000000006</v>
      </c>
    </row>
    <row r="42" spans="1:19" x14ac:dyDescent="0.3">
      <c r="A42" t="s">
        <v>7</v>
      </c>
      <c r="B42" t="s">
        <v>1</v>
      </c>
      <c r="C42" t="s">
        <v>2</v>
      </c>
      <c r="D42">
        <v>31</v>
      </c>
      <c r="E42">
        <v>1734699629.9271801</v>
      </c>
      <c r="F42" s="1">
        <f t="shared" si="0"/>
        <v>45646.54201304607</v>
      </c>
      <c r="G42">
        <v>0.38918000000000003</v>
      </c>
      <c r="H42">
        <v>1734700302.5829599</v>
      </c>
      <c r="I42">
        <v>0.39306999999999997</v>
      </c>
      <c r="J42">
        <v>9.9953748907959002E-3</v>
      </c>
      <c r="K42">
        <v>0.120589999999998</v>
      </c>
      <c r="L42">
        <v>0.11815297</v>
      </c>
      <c r="M42">
        <v>0.12059</v>
      </c>
      <c r="N42">
        <v>-2.4370300000000002E-3</v>
      </c>
      <c r="O42">
        <v>0</v>
      </c>
      <c r="P42">
        <v>1</v>
      </c>
      <c r="Q42">
        <v>9.2174404358638409</v>
      </c>
      <c r="R42">
        <v>3.4504456607083802</v>
      </c>
      <c r="S42">
        <v>9.44</v>
      </c>
    </row>
    <row r="43" spans="1:19" x14ac:dyDescent="0.3">
      <c r="A43" t="s">
        <v>7</v>
      </c>
      <c r="B43" t="s">
        <v>1</v>
      </c>
      <c r="C43" t="s">
        <v>10</v>
      </c>
      <c r="D43">
        <v>30</v>
      </c>
      <c r="E43">
        <v>1734700519.50249</v>
      </c>
      <c r="F43" s="1">
        <f t="shared" si="0"/>
        <v>45646.552309056598</v>
      </c>
      <c r="G43">
        <v>0.395845</v>
      </c>
      <c r="H43">
        <v>1734702555.2184801</v>
      </c>
      <c r="I43">
        <v>0.40931000000000001</v>
      </c>
      <c r="J43">
        <v>1.0161538831580001E-2</v>
      </c>
      <c r="K43">
        <v>0.120671830163603</v>
      </c>
      <c r="L43">
        <v>0.11553521</v>
      </c>
      <c r="M43">
        <v>0.1416</v>
      </c>
      <c r="N43">
        <v>-2.6064790000000001E-2</v>
      </c>
      <c r="O43">
        <v>0</v>
      </c>
      <c r="P43">
        <v>4</v>
      </c>
      <c r="Q43">
        <v>9.3381122660274407</v>
      </c>
      <c r="R43">
        <v>3.5711174908719898</v>
      </c>
      <c r="S43">
        <v>8.57</v>
      </c>
    </row>
    <row r="44" spans="1:19" x14ac:dyDescent="0.3">
      <c r="A44" t="s">
        <v>9</v>
      </c>
      <c r="B44" t="s">
        <v>1</v>
      </c>
      <c r="C44" t="s">
        <v>8</v>
      </c>
      <c r="D44">
        <v>599</v>
      </c>
      <c r="E44">
        <v>1734699014.1891601</v>
      </c>
      <c r="F44" s="1">
        <f t="shared" si="0"/>
        <v>45646.534886448615</v>
      </c>
      <c r="G44">
        <v>2.0059E-2</v>
      </c>
      <c r="H44">
        <v>1734702820.99441</v>
      </c>
      <c r="I44">
        <v>2.0296999999999999E-2</v>
      </c>
      <c r="J44">
        <v>-1.05904989796407E-2</v>
      </c>
      <c r="K44">
        <v>-0.12724845660053499</v>
      </c>
      <c r="L44">
        <v>-0.12702363</v>
      </c>
      <c r="M44">
        <v>-9.7037999999999999E-2</v>
      </c>
      <c r="N44">
        <v>-2.9985629999999999E-2</v>
      </c>
      <c r="O44">
        <v>0</v>
      </c>
      <c r="P44">
        <v>3</v>
      </c>
      <c r="Q44">
        <v>9.2108638094269093</v>
      </c>
      <c r="R44">
        <v>3.44386903427145</v>
      </c>
      <c r="S44">
        <v>8.6999999999999993</v>
      </c>
    </row>
    <row r="45" spans="1:19" x14ac:dyDescent="0.3">
      <c r="A45" t="s">
        <v>5</v>
      </c>
      <c r="B45" t="s">
        <v>1</v>
      </c>
      <c r="C45" t="s">
        <v>8</v>
      </c>
      <c r="D45">
        <v>6.5</v>
      </c>
      <c r="E45">
        <v>1734698411.96732</v>
      </c>
      <c r="F45" s="1">
        <f t="shared" si="0"/>
        <v>45646.527916288425</v>
      </c>
      <c r="G45">
        <v>1.8592500000000001</v>
      </c>
      <c r="H45">
        <v>1734704268.38429</v>
      </c>
      <c r="I45">
        <v>1.8781000000000001</v>
      </c>
      <c r="J45">
        <v>-1.3193086011617301E-2</v>
      </c>
      <c r="K45">
        <v>-0.159440093586147</v>
      </c>
      <c r="L45">
        <v>-0.15883633</v>
      </c>
      <c r="M45">
        <v>-0.12869</v>
      </c>
      <c r="N45">
        <v>-3.0146329999999999E-2</v>
      </c>
      <c r="O45">
        <v>0</v>
      </c>
      <c r="P45">
        <v>4</v>
      </c>
      <c r="Q45">
        <v>9.0514237158407607</v>
      </c>
      <c r="R45">
        <v>3.2844289406853</v>
      </c>
      <c r="S45">
        <v>8.82</v>
      </c>
    </row>
    <row r="46" spans="1:19" x14ac:dyDescent="0.3">
      <c r="A46" t="s">
        <v>9</v>
      </c>
      <c r="B46" t="s">
        <v>1</v>
      </c>
      <c r="C46" t="s">
        <v>2</v>
      </c>
      <c r="D46">
        <v>590</v>
      </c>
      <c r="E46">
        <v>1734707129.94244</v>
      </c>
      <c r="F46" s="1">
        <f t="shared" si="0"/>
        <v>45646.628818778241</v>
      </c>
      <c r="G46">
        <v>2.0351000000000001E-2</v>
      </c>
      <c r="H46">
        <v>1734707771.7053699</v>
      </c>
      <c r="I46">
        <v>2.0555E-2</v>
      </c>
      <c r="J46">
        <v>1.00240774409119E-2</v>
      </c>
      <c r="K46">
        <v>0.120359999999999</v>
      </c>
      <c r="L46">
        <v>0.11793450999999899</v>
      </c>
      <c r="M46">
        <v>0.12035999999999999</v>
      </c>
      <c r="N46">
        <v>-2.4254900000000002E-3</v>
      </c>
      <c r="O46">
        <v>0</v>
      </c>
      <c r="P46">
        <v>1</v>
      </c>
      <c r="Q46">
        <v>9.1717837158407605</v>
      </c>
      <c r="R46">
        <v>3.4047889406852998</v>
      </c>
      <c r="S46">
        <v>8.52</v>
      </c>
    </row>
    <row r="47" spans="1:19" x14ac:dyDescent="0.3">
      <c r="A47" t="s">
        <v>3</v>
      </c>
      <c r="B47" t="s">
        <v>1</v>
      </c>
      <c r="C47" t="s">
        <v>2</v>
      </c>
      <c r="D47">
        <v>1.4</v>
      </c>
      <c r="E47">
        <v>1734707109.7307</v>
      </c>
      <c r="F47" s="1">
        <f t="shared" si="0"/>
        <v>45646.628584846068</v>
      </c>
      <c r="G47">
        <v>8.2780000000000005</v>
      </c>
      <c r="H47">
        <v>1734708359.0731699</v>
      </c>
      <c r="I47">
        <v>8.3610000000000007</v>
      </c>
      <c r="J47">
        <v>1.0026576467745799E-2</v>
      </c>
      <c r="K47">
        <v>0.1162</v>
      </c>
      <c r="L47">
        <v>0.11385892</v>
      </c>
      <c r="M47">
        <v>0.1162</v>
      </c>
      <c r="N47">
        <v>-2.3410800000000002E-3</v>
      </c>
      <c r="O47">
        <v>0</v>
      </c>
      <c r="P47">
        <v>2</v>
      </c>
      <c r="Q47">
        <v>9.2879837158407597</v>
      </c>
      <c r="R47">
        <v>3.5209889406852999</v>
      </c>
      <c r="S47">
        <v>8.6300000000000008</v>
      </c>
    </row>
    <row r="48" spans="1:19" x14ac:dyDescent="0.3">
      <c r="A48" t="s">
        <v>3</v>
      </c>
      <c r="B48" t="s">
        <v>1</v>
      </c>
      <c r="C48" t="s">
        <v>2</v>
      </c>
      <c r="D48">
        <v>1.4</v>
      </c>
      <c r="E48">
        <v>1734709208.97735</v>
      </c>
      <c r="F48" s="1">
        <f t="shared" si="0"/>
        <v>45646.65288168229</v>
      </c>
      <c r="G48">
        <v>8.4414286000000001</v>
      </c>
      <c r="H48">
        <v>1734709605.9623401</v>
      </c>
      <c r="I48">
        <v>8.5259999999999998</v>
      </c>
      <c r="J48">
        <v>1.00186122524331E-2</v>
      </c>
      <c r="K48">
        <v>0.118399959999999</v>
      </c>
      <c r="L48">
        <v>0.11601270999999901</v>
      </c>
      <c r="M48">
        <v>0.11839999</v>
      </c>
      <c r="N48">
        <v>-2.3872799999999999E-3</v>
      </c>
      <c r="O48">
        <v>0</v>
      </c>
      <c r="P48">
        <v>1</v>
      </c>
      <c r="Q48">
        <v>9.4063836758407593</v>
      </c>
      <c r="R48">
        <v>3.6393889006853</v>
      </c>
      <c r="S48">
        <v>8.73</v>
      </c>
    </row>
    <row r="49" spans="1:19" x14ac:dyDescent="0.3">
      <c r="A49" t="s">
        <v>5</v>
      </c>
      <c r="B49" t="s">
        <v>1</v>
      </c>
      <c r="C49" t="s">
        <v>2</v>
      </c>
      <c r="D49">
        <v>6.1</v>
      </c>
      <c r="E49">
        <v>1734708611.68648</v>
      </c>
      <c r="F49" s="1">
        <f t="shared" si="0"/>
        <v>45646.645968593519</v>
      </c>
      <c r="G49">
        <v>1.9515</v>
      </c>
      <c r="H49">
        <v>1734709664.5977499</v>
      </c>
      <c r="I49">
        <v>1.9710000000000001</v>
      </c>
      <c r="J49">
        <v>9.9923136049193308E-3</v>
      </c>
      <c r="K49">
        <v>0.11895</v>
      </c>
      <c r="L49">
        <v>0.11654538</v>
      </c>
      <c r="M49">
        <v>0.11895</v>
      </c>
      <c r="N49">
        <v>-2.4046200000000001E-3</v>
      </c>
      <c r="O49">
        <v>0</v>
      </c>
      <c r="P49">
        <v>1</v>
      </c>
      <c r="Q49">
        <v>9.5253336758407592</v>
      </c>
      <c r="R49">
        <v>3.7583389006852999</v>
      </c>
      <c r="S49">
        <v>9.1</v>
      </c>
    </row>
    <row r="50" spans="1:19" x14ac:dyDescent="0.3">
      <c r="A50" t="s">
        <v>0</v>
      </c>
      <c r="B50" t="s">
        <v>1</v>
      </c>
      <c r="C50" t="s">
        <v>10</v>
      </c>
      <c r="D50">
        <v>31.1</v>
      </c>
      <c r="E50">
        <v>1734706813.25753</v>
      </c>
      <c r="F50" s="1">
        <f t="shared" si="0"/>
        <v>45646.625153443631</v>
      </c>
      <c r="G50">
        <v>0.38937110000000003</v>
      </c>
      <c r="H50">
        <v>1734709685.4310901</v>
      </c>
      <c r="I50">
        <v>0.39750000000000002</v>
      </c>
      <c r="J50">
        <v>1.00352348892881E-2</v>
      </c>
      <c r="K50">
        <v>0.121521086920375</v>
      </c>
      <c r="L50">
        <v>0.11783811</v>
      </c>
      <c r="M50">
        <v>0.13242000000000001</v>
      </c>
      <c r="N50">
        <v>-1.458189E-2</v>
      </c>
      <c r="O50">
        <v>0</v>
      </c>
      <c r="P50">
        <v>3</v>
      </c>
      <c r="Q50">
        <v>9.6468547627611407</v>
      </c>
      <c r="R50">
        <v>3.8798599876056801</v>
      </c>
      <c r="S50">
        <v>9.1</v>
      </c>
    </row>
    <row r="51" spans="1:19" x14ac:dyDescent="0.3">
      <c r="A51" t="s">
        <v>7</v>
      </c>
      <c r="B51" t="s">
        <v>1</v>
      </c>
      <c r="C51" t="s">
        <v>8</v>
      </c>
      <c r="D51">
        <v>29</v>
      </c>
      <c r="E51">
        <v>1734705313.1882601</v>
      </c>
      <c r="F51" s="1">
        <f t="shared" si="0"/>
        <v>45646.607791530783</v>
      </c>
      <c r="G51">
        <v>0.41259000000000001</v>
      </c>
      <c r="H51">
        <v>1734709838.5320401</v>
      </c>
      <c r="I51">
        <v>0.41754999999999998</v>
      </c>
      <c r="J51">
        <v>-1.0803259226027E-2</v>
      </c>
      <c r="K51">
        <v>-0.12926218499792799</v>
      </c>
      <c r="L51">
        <v>-0.12933723999999999</v>
      </c>
      <c r="M51">
        <v>-9.9470000000000003E-2</v>
      </c>
      <c r="N51">
        <v>-2.9867239999999899E-2</v>
      </c>
      <c r="O51">
        <v>0</v>
      </c>
      <c r="P51">
        <v>3</v>
      </c>
      <c r="Q51">
        <v>9.5175925777632102</v>
      </c>
      <c r="R51">
        <v>3.75059780260775</v>
      </c>
      <c r="S51">
        <v>9.23</v>
      </c>
    </row>
    <row r="52" spans="1:19" x14ac:dyDescent="0.3">
      <c r="A52" t="s">
        <v>9</v>
      </c>
      <c r="B52" t="s">
        <v>1</v>
      </c>
      <c r="C52" t="s">
        <v>8</v>
      </c>
      <c r="D52">
        <v>570</v>
      </c>
      <c r="E52">
        <v>1734709811.1185999</v>
      </c>
      <c r="F52" s="1">
        <f t="shared" si="0"/>
        <v>45646.659850909724</v>
      </c>
      <c r="G52">
        <v>2.1059000000000001E-2</v>
      </c>
      <c r="H52">
        <v>1734714096.5499699</v>
      </c>
      <c r="I52">
        <v>2.1079000000000001E-2</v>
      </c>
      <c r="J52">
        <v>-2.14927857426815E-2</v>
      </c>
      <c r="K52">
        <v>-0.25799144772442401</v>
      </c>
      <c r="L52">
        <v>-0.25715525</v>
      </c>
      <c r="M52">
        <v>-0.22800000000000001</v>
      </c>
      <c r="N52">
        <v>-2.9895640000000001E-2</v>
      </c>
      <c r="O52">
        <v>7.4038999999999995E-4</v>
      </c>
      <c r="P52">
        <v>4</v>
      </c>
      <c r="Q52">
        <v>9.2596011300387797</v>
      </c>
      <c r="R52">
        <v>3.4926063548833302</v>
      </c>
      <c r="S52">
        <v>8.9700000000000006</v>
      </c>
    </row>
    <row r="53" spans="1:19" x14ac:dyDescent="0.3">
      <c r="A53" t="s">
        <v>7</v>
      </c>
      <c r="B53" t="s">
        <v>1</v>
      </c>
      <c r="C53" t="s">
        <v>2</v>
      </c>
      <c r="D53">
        <v>29</v>
      </c>
      <c r="E53">
        <v>1734714611.0030301</v>
      </c>
      <c r="F53" s="1">
        <f t="shared" si="0"/>
        <v>45646.715405127659</v>
      </c>
      <c r="G53">
        <v>0.41748000000000002</v>
      </c>
      <c r="H53">
        <v>1734715566.2216401</v>
      </c>
      <c r="I53">
        <v>0.42165000000000002</v>
      </c>
      <c r="J53">
        <v>9.9885024432308303E-3</v>
      </c>
      <c r="K53">
        <v>0.12093</v>
      </c>
      <c r="L53">
        <v>0.11848443</v>
      </c>
      <c r="M53">
        <v>0.12093</v>
      </c>
      <c r="N53">
        <v>-2.4455700000000002E-3</v>
      </c>
      <c r="O53">
        <v>0</v>
      </c>
      <c r="P53">
        <v>1</v>
      </c>
      <c r="Q53">
        <v>9.3805311300387793</v>
      </c>
      <c r="R53">
        <v>3.6135363548833301</v>
      </c>
      <c r="S53">
        <v>9.08</v>
      </c>
    </row>
    <row r="54" spans="1:19" x14ac:dyDescent="0.3">
      <c r="A54" t="s">
        <v>7</v>
      </c>
      <c r="B54" t="s">
        <v>1</v>
      </c>
      <c r="C54" t="s">
        <v>2</v>
      </c>
      <c r="D54">
        <v>28</v>
      </c>
      <c r="E54">
        <v>1734716447.98506</v>
      </c>
      <c r="F54" s="1">
        <f t="shared" si="0"/>
        <v>45646.736666493751</v>
      </c>
      <c r="G54">
        <v>0.42648999999999998</v>
      </c>
      <c r="H54">
        <v>1734719156.74298</v>
      </c>
      <c r="I54">
        <v>0.43075000000000002</v>
      </c>
      <c r="J54">
        <v>9.9885108677812799E-3</v>
      </c>
      <c r="K54">
        <v>0.119280000000001</v>
      </c>
      <c r="L54">
        <v>0.11686779999999999</v>
      </c>
      <c r="M54">
        <v>0.11928</v>
      </c>
      <c r="N54">
        <v>-2.4122000000000002E-3</v>
      </c>
      <c r="O54">
        <v>0</v>
      </c>
      <c r="P54">
        <v>1</v>
      </c>
      <c r="Q54">
        <v>9.4998111300387897</v>
      </c>
      <c r="R54">
        <v>3.73281635488333</v>
      </c>
      <c r="S54">
        <v>8.91</v>
      </c>
    </row>
    <row r="55" spans="1:19" x14ac:dyDescent="0.3">
      <c r="A55" t="s">
        <v>3</v>
      </c>
      <c r="B55" t="s">
        <v>1</v>
      </c>
      <c r="C55" t="s">
        <v>8</v>
      </c>
      <c r="D55">
        <v>1.4</v>
      </c>
      <c r="E55">
        <v>1734714311.8110499</v>
      </c>
      <c r="F55" s="1">
        <f t="shared" si="0"/>
        <v>45646.71194225752</v>
      </c>
      <c r="G55">
        <v>8.5920000000000005</v>
      </c>
      <c r="H55">
        <v>1734719225.9589</v>
      </c>
      <c r="I55">
        <v>8.5839999999999996</v>
      </c>
      <c r="J55">
        <v>-1.33546281082266E-2</v>
      </c>
      <c r="K55">
        <v>-0.160640150588237</v>
      </c>
      <c r="L55">
        <v>-0.1580376</v>
      </c>
      <c r="M55">
        <v>-0.13999999999999899</v>
      </c>
      <c r="N55">
        <v>-1.8037600000000001E-2</v>
      </c>
      <c r="O55">
        <v>0</v>
      </c>
      <c r="P55">
        <v>2</v>
      </c>
      <c r="Q55">
        <v>9.3391709794505502</v>
      </c>
      <c r="R55">
        <v>3.57217620429509</v>
      </c>
      <c r="S55">
        <v>8.89</v>
      </c>
    </row>
    <row r="56" spans="1:19" x14ac:dyDescent="0.3">
      <c r="A56" t="s">
        <v>5</v>
      </c>
      <c r="B56" t="s">
        <v>1</v>
      </c>
      <c r="C56" t="s">
        <v>8</v>
      </c>
      <c r="D56">
        <v>6</v>
      </c>
      <c r="E56">
        <v>1734716408.1590099</v>
      </c>
      <c r="F56" s="1">
        <f t="shared" si="0"/>
        <v>45646.736205544097</v>
      </c>
      <c r="G56">
        <v>2.0125600000000001</v>
      </c>
      <c r="H56">
        <v>1734722174.33251</v>
      </c>
      <c r="I56">
        <v>2.0135000000000001</v>
      </c>
      <c r="J56">
        <v>-2.2206402496871398E-2</v>
      </c>
      <c r="K56">
        <v>-0.26815030445462101</v>
      </c>
      <c r="L56">
        <v>-0.26777024999999999</v>
      </c>
      <c r="M56">
        <v>-0.23769999999999999</v>
      </c>
      <c r="N56">
        <v>-3.007025E-2</v>
      </c>
      <c r="O56">
        <v>0</v>
      </c>
      <c r="P56">
        <v>4</v>
      </c>
      <c r="Q56">
        <v>9.0710206749959301</v>
      </c>
      <c r="R56">
        <v>3.3040258998404699</v>
      </c>
      <c r="S56">
        <v>8.48</v>
      </c>
    </row>
    <row r="57" spans="1:19" x14ac:dyDescent="0.3">
      <c r="A57" t="s">
        <v>9</v>
      </c>
      <c r="B57" t="s">
        <v>1</v>
      </c>
      <c r="C57" t="s">
        <v>2</v>
      </c>
      <c r="D57">
        <v>566</v>
      </c>
      <c r="E57">
        <v>1734719434.7290001</v>
      </c>
      <c r="F57" s="1">
        <f t="shared" si="0"/>
        <v>45646.771235289358</v>
      </c>
      <c r="G57">
        <v>2.1183E-2</v>
      </c>
      <c r="H57">
        <v>1734722280.14608</v>
      </c>
      <c r="I57">
        <v>2.1395000000000001E-2</v>
      </c>
      <c r="J57">
        <v>1.0008025303309199E-2</v>
      </c>
      <c r="K57">
        <v>0.119992</v>
      </c>
      <c r="L57">
        <v>0.11757009</v>
      </c>
      <c r="M57">
        <v>0.119992</v>
      </c>
      <c r="N57">
        <v>-2.4219100000000002E-3</v>
      </c>
      <c r="O57">
        <v>0</v>
      </c>
      <c r="P57">
        <v>1</v>
      </c>
      <c r="Q57">
        <v>9.19101267499593</v>
      </c>
      <c r="R57">
        <v>3.4240178998404698</v>
      </c>
      <c r="S57">
        <v>8.7100000000000009</v>
      </c>
    </row>
    <row r="58" spans="1:19" x14ac:dyDescent="0.3">
      <c r="A58" t="s">
        <v>0</v>
      </c>
      <c r="B58" t="s">
        <v>1</v>
      </c>
      <c r="C58" t="s">
        <v>2</v>
      </c>
      <c r="D58">
        <v>29.6</v>
      </c>
      <c r="E58">
        <v>1734716427.81797</v>
      </c>
      <c r="F58" s="1">
        <f t="shared" ref="F58:F85" si="1">E58/86400 + DATE(1970,1,1)</f>
        <v>45646.73643307836</v>
      </c>
      <c r="G58">
        <v>0.40450000000000003</v>
      </c>
      <c r="H58">
        <v>1734722296.6515701</v>
      </c>
      <c r="I58">
        <v>0.40849999999999997</v>
      </c>
      <c r="J58">
        <v>9.8887515451172997E-3</v>
      </c>
      <c r="K58">
        <v>0.11839999999999801</v>
      </c>
      <c r="L58">
        <v>0.11598169</v>
      </c>
      <c r="M58">
        <v>0.11840000000000001</v>
      </c>
      <c r="N58">
        <v>-2.4183099999999999E-3</v>
      </c>
      <c r="O58">
        <v>0</v>
      </c>
      <c r="P58">
        <v>1</v>
      </c>
      <c r="Q58">
        <v>9.3094126749959205</v>
      </c>
      <c r="R58">
        <v>3.5424178998404701</v>
      </c>
      <c r="S58">
        <v>8.7100000000000009</v>
      </c>
    </row>
    <row r="59" spans="1:19" x14ac:dyDescent="0.3">
      <c r="A59" t="s">
        <v>7</v>
      </c>
      <c r="B59" t="s">
        <v>1</v>
      </c>
      <c r="C59" t="s">
        <v>8</v>
      </c>
      <c r="D59">
        <v>28</v>
      </c>
      <c r="E59">
        <v>1734719414.97207</v>
      </c>
      <c r="F59" s="1">
        <f t="shared" si="1"/>
        <v>45646.77100662118</v>
      </c>
      <c r="G59">
        <v>0.43163000000000001</v>
      </c>
      <c r="H59">
        <v>1734723172.7096601</v>
      </c>
      <c r="I59">
        <v>0.43841000000000002</v>
      </c>
      <c r="J59">
        <v>-6.5923642208863204E-3</v>
      </c>
      <c r="K59">
        <v>-7.9672940722512603E-2</v>
      </c>
      <c r="L59">
        <v>-7.9710600000000006E-2</v>
      </c>
      <c r="M59">
        <v>-4.9520000000000002E-2</v>
      </c>
      <c r="N59">
        <v>-3.0190600000000001E-2</v>
      </c>
      <c r="O59">
        <v>0</v>
      </c>
      <c r="P59">
        <v>4</v>
      </c>
      <c r="Q59">
        <v>9.2297397342734104</v>
      </c>
      <c r="R59">
        <v>3.4627449591179502</v>
      </c>
      <c r="S59">
        <v>8.8800000000000008</v>
      </c>
    </row>
    <row r="60" spans="1:19" x14ac:dyDescent="0.3">
      <c r="A60" t="s">
        <v>5</v>
      </c>
      <c r="B60" t="s">
        <v>1</v>
      </c>
      <c r="C60" t="s">
        <v>2</v>
      </c>
      <c r="D60">
        <v>5.9</v>
      </c>
      <c r="E60">
        <v>1734722407.68698</v>
      </c>
      <c r="F60" s="1">
        <f t="shared" si="1"/>
        <v>45646.80564452523</v>
      </c>
      <c r="G60">
        <v>2.0392999999999999</v>
      </c>
      <c r="H60">
        <v>1734723285.5929101</v>
      </c>
      <c r="I60">
        <v>2.0596999999999999</v>
      </c>
      <c r="J60">
        <v>1.00034325503849E-2</v>
      </c>
      <c r="K60">
        <v>0.120359999999999</v>
      </c>
      <c r="L60">
        <v>0.117929559999999</v>
      </c>
      <c r="M60">
        <v>0.12035999999999999</v>
      </c>
      <c r="N60">
        <v>-2.4304399999999999E-3</v>
      </c>
      <c r="O60">
        <v>0</v>
      </c>
      <c r="P60">
        <v>1</v>
      </c>
      <c r="Q60">
        <v>9.3500997342734102</v>
      </c>
      <c r="R60">
        <v>3.58310495911795</v>
      </c>
      <c r="S60">
        <v>9</v>
      </c>
    </row>
    <row r="61" spans="1:19" x14ac:dyDescent="0.3">
      <c r="A61" t="s">
        <v>0</v>
      </c>
      <c r="B61" t="s">
        <v>1</v>
      </c>
      <c r="C61" t="s">
        <v>2</v>
      </c>
      <c r="D61">
        <v>29.2</v>
      </c>
      <c r="E61">
        <v>1734722427.3474901</v>
      </c>
      <c r="F61" s="1">
        <f t="shared" si="1"/>
        <v>45646.805872077428</v>
      </c>
      <c r="G61">
        <v>0.41110000000000002</v>
      </c>
      <c r="H61">
        <v>1734723361.82482</v>
      </c>
      <c r="I61">
        <v>0.41520000000000001</v>
      </c>
      <c r="J61">
        <v>9.9732425200680895E-3</v>
      </c>
      <c r="K61">
        <v>0.11971999999999899</v>
      </c>
      <c r="L61">
        <v>0.11729524</v>
      </c>
      <c r="M61">
        <v>0.11971999999999999</v>
      </c>
      <c r="N61">
        <v>-2.4247600000000002E-3</v>
      </c>
      <c r="O61">
        <v>0</v>
      </c>
      <c r="P61">
        <v>1</v>
      </c>
      <c r="Q61">
        <v>9.4698197342734094</v>
      </c>
      <c r="R61">
        <v>3.7028249591179501</v>
      </c>
      <c r="S61">
        <v>9.11</v>
      </c>
    </row>
    <row r="62" spans="1:19" x14ac:dyDescent="0.3">
      <c r="A62" t="s">
        <v>3</v>
      </c>
      <c r="B62" t="s">
        <v>4</v>
      </c>
      <c r="C62" t="s">
        <v>2</v>
      </c>
      <c r="D62">
        <v>1.4</v>
      </c>
      <c r="E62">
        <v>1734724820.1536</v>
      </c>
      <c r="F62" s="1">
        <f t="shared" si="1"/>
        <v>45646.833566592592</v>
      </c>
      <c r="G62">
        <v>8.7970000000000006</v>
      </c>
      <c r="H62">
        <v>1734726740.1121099</v>
      </c>
      <c r="I62">
        <v>8.7089999999999996</v>
      </c>
      <c r="J62">
        <v>1.00034102534956E-2</v>
      </c>
      <c r="K62">
        <v>0.123200000000001</v>
      </c>
      <c r="L62">
        <v>0.12076148</v>
      </c>
      <c r="M62">
        <v>0.1232</v>
      </c>
      <c r="N62">
        <v>-2.43852E-3</v>
      </c>
      <c r="O62">
        <v>0</v>
      </c>
      <c r="P62">
        <v>1</v>
      </c>
      <c r="Q62">
        <v>9.59301973427341</v>
      </c>
      <c r="R62">
        <v>3.8260249591179498</v>
      </c>
      <c r="S62">
        <v>9.09</v>
      </c>
    </row>
    <row r="63" spans="1:19" x14ac:dyDescent="0.3">
      <c r="A63" t="s">
        <v>9</v>
      </c>
      <c r="B63" t="s">
        <v>1</v>
      </c>
      <c r="C63" t="s">
        <v>2</v>
      </c>
      <c r="D63">
        <v>557</v>
      </c>
      <c r="E63">
        <v>1734722447.7772999</v>
      </c>
      <c r="F63" s="1">
        <f t="shared" si="1"/>
        <v>45646.806108533565</v>
      </c>
      <c r="G63">
        <v>2.1562000000000001E-2</v>
      </c>
      <c r="H63">
        <v>1734727693.7979801</v>
      </c>
      <c r="I63">
        <v>2.1777999999999999E-2</v>
      </c>
      <c r="J63">
        <v>1.00176235970687E-2</v>
      </c>
      <c r="K63">
        <v>0.120311999999998</v>
      </c>
      <c r="L63">
        <v>0.11788593999999999</v>
      </c>
      <c r="M63">
        <v>0.120312</v>
      </c>
      <c r="N63">
        <v>-2.4260599999999998E-3</v>
      </c>
      <c r="O63">
        <v>0</v>
      </c>
      <c r="P63">
        <v>1</v>
      </c>
      <c r="Q63">
        <v>9.7133317342734102</v>
      </c>
      <c r="R63">
        <v>3.94633695911795</v>
      </c>
      <c r="S63">
        <v>9.1999999999999993</v>
      </c>
    </row>
    <row r="64" spans="1:19" x14ac:dyDescent="0.3">
      <c r="A64" t="s">
        <v>5</v>
      </c>
      <c r="B64" t="s">
        <v>4</v>
      </c>
      <c r="C64" t="s">
        <v>8</v>
      </c>
      <c r="D64">
        <v>5.8</v>
      </c>
      <c r="E64">
        <v>1734723320.8688099</v>
      </c>
      <c r="F64" s="1">
        <f t="shared" si="1"/>
        <v>45646.816213759375</v>
      </c>
      <c r="G64">
        <v>2.0371999999999999</v>
      </c>
      <c r="H64">
        <v>1734728605.6702399</v>
      </c>
      <c r="I64">
        <v>2.0413000000000001</v>
      </c>
      <c r="J64">
        <v>-1.3844509753671699E-2</v>
      </c>
      <c r="K64">
        <v>-0.16358340456704501</v>
      </c>
      <c r="L64">
        <v>-0.16363553</v>
      </c>
      <c r="M64">
        <v>-0.1459</v>
      </c>
      <c r="N64">
        <v>-1.7735529999999999E-2</v>
      </c>
      <c r="O64">
        <v>0</v>
      </c>
      <c r="P64">
        <v>2</v>
      </c>
      <c r="Q64">
        <v>9.5497483297063592</v>
      </c>
      <c r="R64">
        <v>3.7827535545509101</v>
      </c>
      <c r="S64">
        <v>9.16</v>
      </c>
    </row>
    <row r="65" spans="1:19" x14ac:dyDescent="0.3">
      <c r="A65" t="s">
        <v>7</v>
      </c>
      <c r="B65" t="s">
        <v>4</v>
      </c>
      <c r="C65" t="s">
        <v>2</v>
      </c>
      <c r="D65">
        <v>28</v>
      </c>
      <c r="E65">
        <v>1734727520.1370499</v>
      </c>
      <c r="F65" s="1">
        <f t="shared" si="1"/>
        <v>45646.864816401037</v>
      </c>
      <c r="G65">
        <v>0.43047999999999997</v>
      </c>
      <c r="H65">
        <v>1734729049.9496801</v>
      </c>
      <c r="I65">
        <v>0.42618</v>
      </c>
      <c r="J65">
        <v>9.9888496561976597E-3</v>
      </c>
      <c r="K65">
        <v>0.12039999999999899</v>
      </c>
      <c r="L65">
        <v>0.11801339999999901</v>
      </c>
      <c r="M65">
        <v>0.12039999999999999</v>
      </c>
      <c r="N65">
        <v>-2.3866E-3</v>
      </c>
      <c r="O65">
        <v>0</v>
      </c>
      <c r="P65">
        <v>1</v>
      </c>
      <c r="Q65">
        <v>9.6701483297063593</v>
      </c>
      <c r="R65">
        <v>3.9031535545509102</v>
      </c>
      <c r="S65">
        <v>9.01</v>
      </c>
    </row>
    <row r="66" spans="1:19" x14ac:dyDescent="0.3">
      <c r="A66" t="s">
        <v>0</v>
      </c>
      <c r="B66" t="s">
        <v>1</v>
      </c>
      <c r="C66" t="s">
        <v>8</v>
      </c>
      <c r="D66">
        <v>28.9</v>
      </c>
      <c r="E66">
        <v>1734727814.6868</v>
      </c>
      <c r="F66" s="1">
        <f t="shared" si="1"/>
        <v>45646.868225541664</v>
      </c>
      <c r="G66">
        <v>0.4143</v>
      </c>
      <c r="H66">
        <v>1734732546.32757</v>
      </c>
      <c r="I66">
        <v>0.41410000000000002</v>
      </c>
      <c r="J66">
        <v>-2.3739345544875501E-2</v>
      </c>
      <c r="K66">
        <v>-0.28423759383209102</v>
      </c>
      <c r="L66">
        <v>-0.28412890000000002</v>
      </c>
      <c r="M66">
        <v>-0.25431999999999999</v>
      </c>
      <c r="N66">
        <v>-2.9808899999999999E-2</v>
      </c>
      <c r="O66">
        <v>0</v>
      </c>
      <c r="P66">
        <v>3</v>
      </c>
      <c r="Q66">
        <v>9.3859107358742708</v>
      </c>
      <c r="R66">
        <v>3.6189159607188199</v>
      </c>
      <c r="S66">
        <v>8.4600000000000009</v>
      </c>
    </row>
    <row r="67" spans="1:19" x14ac:dyDescent="0.3">
      <c r="A67" t="s">
        <v>3</v>
      </c>
      <c r="B67" t="s">
        <v>4</v>
      </c>
      <c r="C67" t="s">
        <v>8</v>
      </c>
      <c r="D67">
        <v>1.3</v>
      </c>
      <c r="E67">
        <v>1734728721.98106</v>
      </c>
      <c r="F67" s="1">
        <f t="shared" si="1"/>
        <v>45646.87872663264</v>
      </c>
      <c r="G67">
        <v>8.81</v>
      </c>
      <c r="H67">
        <v>1734732645.89077</v>
      </c>
      <c r="I67">
        <v>8.8849999999999998</v>
      </c>
      <c r="J67">
        <v>-1.9668983646387601E-2</v>
      </c>
      <c r="K67">
        <v>-0.22526886970207699</v>
      </c>
      <c r="L67">
        <v>-0.22522824999999999</v>
      </c>
      <c r="M67">
        <v>-0.20799999999999999</v>
      </c>
      <c r="N67">
        <v>-1.7228250000000001E-2</v>
      </c>
      <c r="O67">
        <v>0</v>
      </c>
      <c r="P67">
        <v>2</v>
      </c>
      <c r="Q67">
        <v>9.16064186617219</v>
      </c>
      <c r="R67">
        <v>3.39364709101674</v>
      </c>
      <c r="S67">
        <v>8.35</v>
      </c>
    </row>
    <row r="68" spans="1:19" x14ac:dyDescent="0.3">
      <c r="A68" t="s">
        <v>9</v>
      </c>
      <c r="B68" t="s">
        <v>1</v>
      </c>
      <c r="C68" t="s">
        <v>8</v>
      </c>
      <c r="D68">
        <v>550</v>
      </c>
      <c r="E68">
        <v>1734727834.359</v>
      </c>
      <c r="F68" s="1">
        <f t="shared" si="1"/>
        <v>45646.868453229166</v>
      </c>
      <c r="G68">
        <v>2.1831E-2</v>
      </c>
      <c r="H68">
        <v>1734732724.72628</v>
      </c>
      <c r="I68">
        <v>2.1961000000000001E-2</v>
      </c>
      <c r="J68">
        <v>-1.64267808155148E-2</v>
      </c>
      <c r="K68">
        <v>-0.19723717859092699</v>
      </c>
      <c r="L68">
        <v>-0.19713346000000001</v>
      </c>
      <c r="M68">
        <v>-0.16719999999999999</v>
      </c>
      <c r="N68">
        <v>-2.9933459999999999E-2</v>
      </c>
      <c r="O68">
        <v>0</v>
      </c>
      <c r="P68">
        <v>4</v>
      </c>
      <c r="Q68">
        <v>8.9634046875812707</v>
      </c>
      <c r="R68">
        <v>3.1964099124258101</v>
      </c>
      <c r="S68">
        <v>8.42</v>
      </c>
    </row>
    <row r="69" spans="1:19" x14ac:dyDescent="0.3">
      <c r="A69" t="s">
        <v>5</v>
      </c>
      <c r="B69" t="s">
        <v>1</v>
      </c>
      <c r="C69" t="s">
        <v>10</v>
      </c>
      <c r="D69">
        <v>6</v>
      </c>
      <c r="E69">
        <v>1734729914.77054</v>
      </c>
      <c r="F69" s="1">
        <f t="shared" si="1"/>
        <v>45646.892532066435</v>
      </c>
      <c r="G69">
        <v>2.036</v>
      </c>
      <c r="H69">
        <v>1734733111.3271101</v>
      </c>
      <c r="I69">
        <v>2.0783</v>
      </c>
      <c r="J69">
        <v>9.9802480177597803E-3</v>
      </c>
      <c r="K69">
        <v>0.12191870978495301</v>
      </c>
      <c r="L69">
        <v>0.11816003999999999</v>
      </c>
      <c r="M69">
        <v>0.13286999999999999</v>
      </c>
      <c r="N69">
        <v>-1.4709959999999999E-2</v>
      </c>
      <c r="O69">
        <v>0</v>
      </c>
      <c r="P69">
        <v>2</v>
      </c>
      <c r="Q69">
        <v>9.0853233973662206</v>
      </c>
      <c r="R69">
        <v>3.31832862221076</v>
      </c>
      <c r="S69">
        <v>8.67</v>
      </c>
    </row>
    <row r="70" spans="1:19" x14ac:dyDescent="0.3">
      <c r="A70" t="s">
        <v>0</v>
      </c>
      <c r="B70" t="s">
        <v>1</v>
      </c>
      <c r="C70" t="s">
        <v>2</v>
      </c>
      <c r="D70">
        <v>29</v>
      </c>
      <c r="E70">
        <v>1734732613.9588101</v>
      </c>
      <c r="F70" s="1">
        <f t="shared" si="1"/>
        <v>45646.923772671413</v>
      </c>
      <c r="G70">
        <v>0.41399999999999998</v>
      </c>
      <c r="H70">
        <v>1734733426.9514</v>
      </c>
      <c r="I70">
        <v>0.41810000000000003</v>
      </c>
      <c r="J70">
        <v>9.9033816425121903E-3</v>
      </c>
      <c r="K70">
        <v>0.118900000000001</v>
      </c>
      <c r="L70">
        <v>0.11647502</v>
      </c>
      <c r="M70">
        <v>0.11890000000000001</v>
      </c>
      <c r="N70">
        <v>-2.4249800000000002E-3</v>
      </c>
      <c r="O70">
        <v>0</v>
      </c>
      <c r="P70">
        <v>1</v>
      </c>
      <c r="Q70">
        <v>9.2042233973662206</v>
      </c>
      <c r="R70">
        <v>3.43722862221076</v>
      </c>
      <c r="S70">
        <v>8.76</v>
      </c>
    </row>
    <row r="71" spans="1:19" x14ac:dyDescent="0.3">
      <c r="A71" t="s">
        <v>3</v>
      </c>
      <c r="B71" t="s">
        <v>1</v>
      </c>
      <c r="C71" t="s">
        <v>2</v>
      </c>
      <c r="D71">
        <v>1.3</v>
      </c>
      <c r="E71">
        <v>1734733234.6654899</v>
      </c>
      <c r="F71" s="1">
        <f t="shared" si="1"/>
        <v>45646.930956776501</v>
      </c>
      <c r="G71">
        <v>8.8930000000000007</v>
      </c>
      <c r="H71">
        <v>1734733959.1975999</v>
      </c>
      <c r="I71">
        <v>8.9819999999999993</v>
      </c>
      <c r="J71">
        <v>1.0007871359496E-2</v>
      </c>
      <c r="K71">
        <v>0.115699999999998</v>
      </c>
      <c r="L71">
        <v>0.11336468</v>
      </c>
      <c r="M71">
        <v>0.1157</v>
      </c>
      <c r="N71">
        <v>-2.3353200000000001E-3</v>
      </c>
      <c r="O71">
        <v>0</v>
      </c>
      <c r="P71">
        <v>1</v>
      </c>
      <c r="Q71">
        <v>9.3199233973662192</v>
      </c>
      <c r="R71">
        <v>3.5529286222107599</v>
      </c>
      <c r="S71">
        <v>8.8800000000000008</v>
      </c>
    </row>
    <row r="72" spans="1:19" x14ac:dyDescent="0.3">
      <c r="A72" t="s">
        <v>5</v>
      </c>
      <c r="B72" t="s">
        <v>1</v>
      </c>
      <c r="C72" t="s">
        <v>2</v>
      </c>
      <c r="D72">
        <v>5.8</v>
      </c>
      <c r="E72">
        <v>1734733214.49912</v>
      </c>
      <c r="F72" s="1">
        <f t="shared" si="1"/>
        <v>45646.930723369442</v>
      </c>
      <c r="G72">
        <v>2.0807099999999998</v>
      </c>
      <c r="H72">
        <v>1734734075.0650201</v>
      </c>
      <c r="I72">
        <v>2.1015000000000001</v>
      </c>
      <c r="J72">
        <v>9.9917816514556602E-3</v>
      </c>
      <c r="K72">
        <v>0.12058200000000099</v>
      </c>
      <c r="L72">
        <v>0.11815225</v>
      </c>
      <c r="M72">
        <v>0.12058998999999999</v>
      </c>
      <c r="N72">
        <v>-2.4377399999999999E-3</v>
      </c>
      <c r="O72">
        <v>0</v>
      </c>
      <c r="P72">
        <v>1</v>
      </c>
      <c r="Q72">
        <v>9.4405053973662199</v>
      </c>
      <c r="R72">
        <v>3.6735106222107601</v>
      </c>
      <c r="S72">
        <v>8.99</v>
      </c>
    </row>
    <row r="73" spans="1:19" x14ac:dyDescent="0.3">
      <c r="A73" t="s">
        <v>9</v>
      </c>
      <c r="B73" t="s">
        <v>1</v>
      </c>
      <c r="C73" t="s">
        <v>2</v>
      </c>
      <c r="D73">
        <v>542</v>
      </c>
      <c r="E73">
        <v>1734733273.98154</v>
      </c>
      <c r="F73" s="1">
        <f t="shared" si="1"/>
        <v>45646.931411823374</v>
      </c>
      <c r="G73">
        <v>2.2144E-2</v>
      </c>
      <c r="H73">
        <v>1734734927.64307</v>
      </c>
      <c r="I73">
        <v>2.2364999999999999E-2</v>
      </c>
      <c r="J73">
        <v>9.9801300578034203E-3</v>
      </c>
      <c r="K73">
        <v>0.119781999999999</v>
      </c>
      <c r="L73">
        <v>0.11735764</v>
      </c>
      <c r="M73">
        <v>0.119782</v>
      </c>
      <c r="N73">
        <v>-2.42436E-3</v>
      </c>
      <c r="O73">
        <v>0</v>
      </c>
      <c r="P73">
        <v>1</v>
      </c>
      <c r="Q73">
        <v>9.5602873973662206</v>
      </c>
      <c r="R73">
        <v>3.7932926222107599</v>
      </c>
      <c r="S73">
        <v>9.1</v>
      </c>
    </row>
    <row r="74" spans="1:19" x14ac:dyDescent="0.3">
      <c r="A74" t="s">
        <v>3</v>
      </c>
      <c r="B74" t="s">
        <v>1</v>
      </c>
      <c r="C74" t="s">
        <v>2</v>
      </c>
      <c r="D74">
        <v>1.3</v>
      </c>
      <c r="E74">
        <v>1734734708.8129101</v>
      </c>
      <c r="F74" s="1">
        <f t="shared" si="1"/>
        <v>45646.948018667943</v>
      </c>
      <c r="G74">
        <v>8.9909999999999997</v>
      </c>
      <c r="H74">
        <v>1734735462.2168901</v>
      </c>
      <c r="I74">
        <v>9.0809999999999995</v>
      </c>
      <c r="J74">
        <v>1.0010010010009901E-2</v>
      </c>
      <c r="K74">
        <v>0.11699999999999899</v>
      </c>
      <c r="L74">
        <v>0.11463893999999999</v>
      </c>
      <c r="M74">
        <v>0.11700000000000001</v>
      </c>
      <c r="N74">
        <v>-2.3610599999999999E-3</v>
      </c>
      <c r="O74">
        <v>0</v>
      </c>
      <c r="P74">
        <v>1</v>
      </c>
      <c r="Q74">
        <v>9.6772873973662197</v>
      </c>
      <c r="R74">
        <v>3.9102926222107599</v>
      </c>
      <c r="S74">
        <v>9.2100000000000009</v>
      </c>
    </row>
    <row r="75" spans="1:19" x14ac:dyDescent="0.3">
      <c r="A75" t="s">
        <v>0</v>
      </c>
      <c r="B75" t="s">
        <v>1</v>
      </c>
      <c r="C75" t="s">
        <v>2</v>
      </c>
      <c r="D75">
        <v>28.7</v>
      </c>
      <c r="E75">
        <v>1734734110.64884</v>
      </c>
      <c r="F75" s="1">
        <f t="shared" si="1"/>
        <v>45646.941095472685</v>
      </c>
      <c r="G75">
        <v>0.41760000000000003</v>
      </c>
      <c r="H75">
        <v>1734736059.6391001</v>
      </c>
      <c r="I75">
        <v>0.42180000000000001</v>
      </c>
      <c r="J75">
        <v>1.00574712643677E-2</v>
      </c>
      <c r="K75">
        <v>0.120539999999999</v>
      </c>
      <c r="L75">
        <v>0.11811887</v>
      </c>
      <c r="M75">
        <v>0.12053999999999999</v>
      </c>
      <c r="N75">
        <v>-2.4211300000000001E-3</v>
      </c>
      <c r="O75">
        <v>0</v>
      </c>
      <c r="P75">
        <v>1</v>
      </c>
      <c r="Q75">
        <v>9.7978273973662198</v>
      </c>
      <c r="R75">
        <v>4.0308326222107604</v>
      </c>
      <c r="S75">
        <v>9.33</v>
      </c>
    </row>
    <row r="76" spans="1:19" x14ac:dyDescent="0.3">
      <c r="A76" t="s">
        <v>5</v>
      </c>
      <c r="B76" t="s">
        <v>4</v>
      </c>
      <c r="C76" t="s">
        <v>2</v>
      </c>
      <c r="D76">
        <v>5.6</v>
      </c>
      <c r="E76">
        <v>1734737411.75652</v>
      </c>
      <c r="F76" s="1">
        <f t="shared" si="1"/>
        <v>45646.979302737498</v>
      </c>
      <c r="G76">
        <v>2.129</v>
      </c>
      <c r="H76">
        <v>1734738227.5088999</v>
      </c>
      <c r="I76">
        <v>2.1076999999999999</v>
      </c>
      <c r="J76">
        <v>1.00046970408643E-2</v>
      </c>
      <c r="K76">
        <v>0.11928</v>
      </c>
      <c r="L76">
        <v>0.11691938</v>
      </c>
      <c r="M76">
        <v>0.11928</v>
      </c>
      <c r="N76">
        <v>-2.3606199999999999E-3</v>
      </c>
      <c r="O76">
        <v>0</v>
      </c>
      <c r="P76">
        <v>1</v>
      </c>
      <c r="Q76">
        <v>9.9171073973662196</v>
      </c>
      <c r="R76">
        <v>4.1501126222107603</v>
      </c>
      <c r="S76">
        <v>9.44</v>
      </c>
    </row>
    <row r="77" spans="1:19" x14ac:dyDescent="0.3">
      <c r="A77" t="s">
        <v>3</v>
      </c>
      <c r="B77" t="s">
        <v>1</v>
      </c>
      <c r="C77" t="s">
        <v>2</v>
      </c>
      <c r="D77">
        <v>1.3</v>
      </c>
      <c r="E77">
        <v>1734737708.8968201</v>
      </c>
      <c r="F77" s="1">
        <f t="shared" si="1"/>
        <v>45646.982741861342</v>
      </c>
      <c r="G77">
        <v>9.1519999999999992</v>
      </c>
      <c r="H77">
        <v>1734739077.69084</v>
      </c>
      <c r="I77">
        <v>9.2439999999999998</v>
      </c>
      <c r="J77">
        <v>1.0052447552447601E-2</v>
      </c>
      <c r="K77">
        <v>0.1196</v>
      </c>
      <c r="L77">
        <v>0.11719656000000001</v>
      </c>
      <c r="M77">
        <v>0.1196</v>
      </c>
      <c r="N77">
        <v>-2.4034399999999902E-3</v>
      </c>
      <c r="O77">
        <v>0</v>
      </c>
      <c r="P77">
        <v>2</v>
      </c>
      <c r="Q77">
        <v>10.0367073973662</v>
      </c>
      <c r="R77">
        <v>4.2697126222107702</v>
      </c>
      <c r="S77">
        <v>9.5500000000000007</v>
      </c>
    </row>
    <row r="78" spans="1:19" x14ac:dyDescent="0.3">
      <c r="A78" t="s">
        <v>9</v>
      </c>
      <c r="B78" t="s">
        <v>1</v>
      </c>
      <c r="C78" t="s">
        <v>2</v>
      </c>
      <c r="D78">
        <v>539</v>
      </c>
      <c r="E78">
        <v>1734741368.8083</v>
      </c>
      <c r="F78" s="1">
        <f t="shared" si="1"/>
        <v>45647.025101947918</v>
      </c>
      <c r="G78">
        <v>2.2221999999999999E-2</v>
      </c>
      <c r="H78">
        <v>1734742970.9390199</v>
      </c>
      <c r="I78">
        <v>2.2443999999999999E-2</v>
      </c>
      <c r="J78">
        <v>9.9900999009989999E-3</v>
      </c>
      <c r="K78">
        <v>0.119657999999999</v>
      </c>
      <c r="L78">
        <v>0.11723854</v>
      </c>
      <c r="M78">
        <v>0.119658</v>
      </c>
      <c r="N78">
        <v>-2.41946E-3</v>
      </c>
      <c r="O78">
        <v>0</v>
      </c>
      <c r="P78">
        <v>1</v>
      </c>
      <c r="Q78">
        <v>10.1563653973662</v>
      </c>
      <c r="R78">
        <v>4.3893706222107696</v>
      </c>
      <c r="S78">
        <v>9.51</v>
      </c>
    </row>
    <row r="79" spans="1:19" x14ac:dyDescent="0.3">
      <c r="A79" t="s">
        <v>7</v>
      </c>
      <c r="B79" t="s">
        <v>1</v>
      </c>
      <c r="C79" t="s">
        <v>2</v>
      </c>
      <c r="D79">
        <v>28</v>
      </c>
      <c r="E79">
        <v>1734733254.3268299</v>
      </c>
      <c r="F79" s="1">
        <f t="shared" si="1"/>
        <v>45646.931184338304</v>
      </c>
      <c r="G79">
        <v>0.43242999999999998</v>
      </c>
      <c r="H79">
        <v>1734743072.25438</v>
      </c>
      <c r="I79">
        <v>0.43675000000000003</v>
      </c>
      <c r="J79">
        <v>9.9900561940661908E-3</v>
      </c>
      <c r="K79">
        <v>0.120960000000001</v>
      </c>
      <c r="L79">
        <v>0.11730189000000001</v>
      </c>
      <c r="M79">
        <v>0.12096</v>
      </c>
      <c r="N79">
        <v>-2.4458000000000001E-3</v>
      </c>
      <c r="O79">
        <v>-1.2123100000000001E-3</v>
      </c>
      <c r="P79">
        <v>1</v>
      </c>
      <c r="Q79">
        <v>10.2773253973662</v>
      </c>
      <c r="R79">
        <v>4.5103306222107697</v>
      </c>
      <c r="S79">
        <v>9.6300000000000008</v>
      </c>
    </row>
    <row r="80" spans="1:19" x14ac:dyDescent="0.3">
      <c r="A80" t="s">
        <v>0</v>
      </c>
      <c r="B80" t="s">
        <v>1</v>
      </c>
      <c r="C80" t="s">
        <v>2</v>
      </c>
      <c r="D80">
        <v>28.4</v>
      </c>
      <c r="E80">
        <v>1734741328.9660299</v>
      </c>
      <c r="F80" s="1">
        <f t="shared" si="1"/>
        <v>45647.02464081053</v>
      </c>
      <c r="G80">
        <v>0.4219</v>
      </c>
      <c r="H80">
        <v>1734743426.5671301</v>
      </c>
      <c r="I80">
        <v>0.42609999999999998</v>
      </c>
      <c r="J80">
        <v>9.9549656316662207E-3</v>
      </c>
      <c r="K80">
        <v>0.119279999999999</v>
      </c>
      <c r="L80">
        <v>0.11685975999999999</v>
      </c>
      <c r="M80">
        <v>0.11928</v>
      </c>
      <c r="N80">
        <v>-2.4202400000000002E-3</v>
      </c>
      <c r="O80">
        <v>0</v>
      </c>
      <c r="P80">
        <v>1</v>
      </c>
      <c r="Q80">
        <v>10.3966053973662</v>
      </c>
      <c r="R80">
        <v>4.6296106222107696</v>
      </c>
      <c r="S80">
        <v>9.6199999999999992</v>
      </c>
    </row>
    <row r="81" spans="1:19" x14ac:dyDescent="0.3">
      <c r="A81" t="s">
        <v>5</v>
      </c>
      <c r="B81" t="s">
        <v>1</v>
      </c>
      <c r="C81" t="s">
        <v>2</v>
      </c>
      <c r="D81">
        <v>5.7</v>
      </c>
      <c r="E81">
        <v>1734741309.31165</v>
      </c>
      <c r="F81" s="1">
        <f t="shared" si="1"/>
        <v>45647.024413329287</v>
      </c>
      <c r="G81">
        <v>2.1101000000000001</v>
      </c>
      <c r="H81">
        <v>1734743539.8408799</v>
      </c>
      <c r="I81">
        <v>2.1312000000000002</v>
      </c>
      <c r="J81">
        <v>9.9995260888110105E-3</v>
      </c>
      <c r="K81">
        <v>0.12027</v>
      </c>
      <c r="L81">
        <v>0.11784044</v>
      </c>
      <c r="M81">
        <v>0.12027</v>
      </c>
      <c r="N81">
        <v>-2.4295599999999999E-3</v>
      </c>
      <c r="O81">
        <v>0</v>
      </c>
      <c r="P81">
        <v>1</v>
      </c>
      <c r="Q81">
        <v>10.516875397366199</v>
      </c>
      <c r="R81">
        <v>4.7498806222107701</v>
      </c>
      <c r="S81">
        <v>9.73</v>
      </c>
    </row>
    <row r="82" spans="1:19" x14ac:dyDescent="0.3">
      <c r="A82" t="s">
        <v>3</v>
      </c>
      <c r="B82" t="s">
        <v>1</v>
      </c>
      <c r="C82" t="s">
        <v>8</v>
      </c>
      <c r="D82">
        <v>1.3</v>
      </c>
      <c r="E82">
        <v>1734741349.1507499</v>
      </c>
      <c r="F82" s="1">
        <f t="shared" si="1"/>
        <v>45647.024874429975</v>
      </c>
      <c r="G82">
        <v>9.3173077000000006</v>
      </c>
      <c r="H82">
        <v>1734745681.64252</v>
      </c>
      <c r="I82">
        <v>9.3949999999999996</v>
      </c>
      <c r="J82">
        <v>-1.42757093776213E-2</v>
      </c>
      <c r="K82">
        <v>-0.17291452997919499</v>
      </c>
      <c r="L82">
        <v>-0.17240993999999901</v>
      </c>
      <c r="M82">
        <v>-0.14219999</v>
      </c>
      <c r="N82">
        <v>-3.0209949999999999E-2</v>
      </c>
      <c r="O82">
        <v>0</v>
      </c>
      <c r="P82">
        <v>3</v>
      </c>
      <c r="Q82">
        <v>10.343960867387</v>
      </c>
      <c r="R82">
        <v>4.5769660922315696</v>
      </c>
      <c r="S82">
        <v>9.69</v>
      </c>
    </row>
    <row r="83" spans="1:19" x14ac:dyDescent="0.3">
      <c r="A83" t="s">
        <v>5</v>
      </c>
      <c r="B83" t="s">
        <v>4</v>
      </c>
      <c r="C83" t="s">
        <v>8</v>
      </c>
      <c r="D83">
        <v>5.6</v>
      </c>
      <c r="E83">
        <v>1734744313.78512</v>
      </c>
      <c r="F83" s="1">
        <f t="shared" si="1"/>
        <v>45647.059187327774</v>
      </c>
      <c r="G83">
        <v>2.1148099999999999</v>
      </c>
      <c r="H83">
        <v>1734748439.9853599</v>
      </c>
      <c r="I83">
        <v>2.1132</v>
      </c>
      <c r="J83">
        <v>-1.09184786096205E-2</v>
      </c>
      <c r="K83">
        <v>-0.12930684339110499</v>
      </c>
      <c r="L83">
        <v>-0.12917988</v>
      </c>
      <c r="M83">
        <v>-0.11142001</v>
      </c>
      <c r="N83">
        <v>-1.7759870000000001E-2</v>
      </c>
      <c r="O83">
        <v>0</v>
      </c>
      <c r="P83">
        <v>3</v>
      </c>
      <c r="Q83">
        <v>10.2146540239959</v>
      </c>
      <c r="R83">
        <v>4.4476592488404698</v>
      </c>
      <c r="S83">
        <v>9.69</v>
      </c>
    </row>
    <row r="84" spans="1:19" x14ac:dyDescent="0.3">
      <c r="A84" t="s">
        <v>5</v>
      </c>
      <c r="B84" t="s">
        <v>1</v>
      </c>
      <c r="C84" t="s">
        <v>2</v>
      </c>
      <c r="D84">
        <v>5.7</v>
      </c>
      <c r="E84">
        <v>1734751811.7053599</v>
      </c>
      <c r="F84" s="1">
        <f t="shared" si="1"/>
        <v>45647.145968812038</v>
      </c>
      <c r="G84">
        <v>2.1190000000000002</v>
      </c>
      <c r="H84">
        <v>1734752556.5374701</v>
      </c>
      <c r="I84">
        <v>2.1402000000000001</v>
      </c>
      <c r="J84">
        <v>1.00047192071731E-2</v>
      </c>
      <c r="K84">
        <v>0.120839999999999</v>
      </c>
      <c r="L84">
        <v>0.11840017999999999</v>
      </c>
      <c r="M84">
        <v>0.12084</v>
      </c>
      <c r="N84">
        <v>-2.4398200000000001E-3</v>
      </c>
      <c r="O84">
        <v>0</v>
      </c>
      <c r="P84">
        <v>1</v>
      </c>
      <c r="Q84">
        <v>10.335494023995899</v>
      </c>
      <c r="R84">
        <v>4.5684992488404701</v>
      </c>
      <c r="S84">
        <v>9.7899999999999991</v>
      </c>
    </row>
    <row r="85" spans="1:19" x14ac:dyDescent="0.3">
      <c r="A85" t="s">
        <v>3</v>
      </c>
      <c r="B85" t="s">
        <v>1</v>
      </c>
      <c r="C85" t="s">
        <v>2</v>
      </c>
      <c r="D85">
        <v>1.3</v>
      </c>
      <c r="E85">
        <v>1734749713.01033</v>
      </c>
      <c r="F85" s="1">
        <f t="shared" si="1"/>
        <v>45647.121678360301</v>
      </c>
      <c r="G85">
        <v>9.4130000000000003</v>
      </c>
      <c r="H85">
        <v>1734753731.51422</v>
      </c>
      <c r="I85">
        <v>9.5069999999999997</v>
      </c>
      <c r="J85">
        <v>9.9861893126526498E-3</v>
      </c>
      <c r="K85">
        <v>0.122199999999999</v>
      </c>
      <c r="L85">
        <v>0.11972818</v>
      </c>
      <c r="M85">
        <v>0.1222</v>
      </c>
      <c r="N85">
        <v>-2.47182E-3</v>
      </c>
      <c r="O85">
        <v>0</v>
      </c>
      <c r="P85">
        <v>1</v>
      </c>
      <c r="Q85">
        <v>10.4576940239959</v>
      </c>
      <c r="R85">
        <v>4.6906992488404597</v>
      </c>
      <c r="S85">
        <v>9.7799999999999994</v>
      </c>
    </row>
    <row r="87" spans="1:19" x14ac:dyDescent="0.3">
      <c r="B87" t="s">
        <v>15</v>
      </c>
      <c r="C87">
        <f>COUNTIF(C2:C85,"direct TP")</f>
        <v>47</v>
      </c>
      <c r="D87">
        <f>AVERAGEIF(C2:C85,"direct TP",J2:J85)</f>
        <v>9.990465831698098E-3</v>
      </c>
      <c r="E87" s="5">
        <f>C87/C92</f>
        <v>0.55952380952380953</v>
      </c>
      <c r="J87">
        <f>SUM(J2:J85)</f>
        <v>0.24804683563814314</v>
      </c>
      <c r="K87">
        <f>SUM(K2:K85)</f>
        <v>2.9119243654184652</v>
      </c>
      <c r="L87">
        <f>SUM(L2:L85)</f>
        <v>2.3847062399999936</v>
      </c>
    </row>
    <row r="88" spans="1:19" x14ac:dyDescent="0.3">
      <c r="B88" t="s">
        <v>8</v>
      </c>
      <c r="C88">
        <f>COUNTIF(C2:C85,"tie")</f>
        <v>15</v>
      </c>
      <c r="D88">
        <f>AVERAGEIF(C2:C85,"tie",J2:J85)</f>
        <v>-1.3200707150771828E-2</v>
      </c>
      <c r="E88" s="5">
        <f>C88/C92</f>
        <v>0.17857142857142858</v>
      </c>
      <c r="J88" s="5">
        <f>COUNTIF(J2:J85,"&gt;0")/COUNT(J2:J85)</f>
        <v>0.76190476190476186</v>
      </c>
      <c r="L88">
        <f>(K87-L87)/K87</f>
        <v>0.18105488304559944</v>
      </c>
    </row>
    <row r="89" spans="1:19" x14ac:dyDescent="0.3">
      <c r="B89" t="s">
        <v>6</v>
      </c>
      <c r="C89">
        <f>COUNTIF(C2:C85,"sl")</f>
        <v>6</v>
      </c>
      <c r="D89">
        <f>AVERAGEIF(C2:C85,"sl",J2:J85)</f>
        <v>-3.0646111816776917E-2</v>
      </c>
      <c r="E89" s="5">
        <f>C89/C92</f>
        <v>7.1428571428571425E-2</v>
      </c>
    </row>
    <row r="90" spans="1:19" x14ac:dyDescent="0.3">
      <c r="B90" t="s">
        <v>16</v>
      </c>
      <c r="C90">
        <f>COUNTIF(C2:C85,"Indirect TP")</f>
        <v>16</v>
      </c>
      <c r="D90">
        <f>AVERAGEIF(C2:C85,"Indirect TP",J2:J85)</f>
        <v>1.0023888731910712E-2</v>
      </c>
      <c r="E90" s="5">
        <f>C90/C92</f>
        <v>0.19047619047619047</v>
      </c>
    </row>
    <row r="92" spans="1:19" x14ac:dyDescent="0.3">
      <c r="C92">
        <f>SUM(C87:C90)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 garcia</cp:lastModifiedBy>
  <dcterms:created xsi:type="dcterms:W3CDTF">2024-12-21T05:09:23Z</dcterms:created>
  <dcterms:modified xsi:type="dcterms:W3CDTF">2024-12-21T05:09:23Z</dcterms:modified>
</cp:coreProperties>
</file>